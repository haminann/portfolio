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min/Desktop/Academics/UNC Chapel Hill/Spring 2026/BUSI 581/"/>
    </mc:Choice>
  </mc:AlternateContent>
  <xr:revisionPtr revIDLastSave="0" documentId="13_ncr:1_{983C0815-D198-BE44-AB13-85394AA4AC10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Inputs" sheetId="1" r:id="rId1"/>
    <sheet name="S&amp;U and Opening BS" sheetId="4" r:id="rId2"/>
    <sheet name="IS" sheetId="3" r:id="rId3"/>
    <sheet name="BS and Cash Flow" sheetId="6" r:id="rId4"/>
    <sheet name="Ratios" sheetId="8" r:id="rId5"/>
    <sheet name="Returns" sheetId="9" r:id="rId6"/>
  </sheets>
  <definedNames>
    <definedName name="case">IS!$Q$24</definedName>
    <definedName name="circ">'S&amp;U and Opening BS'!$I$10</definedName>
    <definedName name="CostOfDebt">#REF!</definedName>
    <definedName name="Days">Inputs!$E$9</definedName>
    <definedName name="ev.Calculation" hidden="1">-4105</definedName>
    <definedName name="ev.Initialized" hidden="1">FALSE</definedName>
    <definedName name="FYE">Inputs!$E$7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EST">"c369"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NUM_EST">"c374"</definedName>
    <definedName name="IQ_EBITDA_OVER_TOTAL_IE">"c373"</definedName>
    <definedName name="IQ_EBITDA_STDDEV_EST">"c375"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PS_HIGH_EST">"c400"</definedName>
    <definedName name="IQ_EPS_LOW_EST">"c401"</definedName>
    <definedName name="IQ_EPS_NUM_EST">"c402"</definedName>
    <definedName name="IQ_EPS_STDDEV_EST">"c403"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2YR">"c1637"</definedName>
    <definedName name="IQ_EST_EPS_GROWTH_Q_1YR">"c1641"</definedName>
    <definedName name="IQ_EST_EPS_SURPRISE">"c1635"</definedName>
    <definedName name="IQ_EST_REV_GROWTH_1YR">"c1638"</definedName>
    <definedName name="IQ_EST_REV_GROWTH_2YR">"c1639"</definedName>
    <definedName name="IQ_EST_REV_GROWTH_Q_1YR">"c1640"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FO_EST">"c418"</definedName>
    <definedName name="IQ_FFO_HIGH_EST">"c419"</definedName>
    <definedName name="IQ_FFO_LOW_EST">"c420"</definedName>
    <definedName name="IQ_FFO_NUM_EST">"c421"</definedName>
    <definedName name="IQ_FFO_STDDEV_EST">"c422"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ENUE">"c1122"</definedName>
    <definedName name="IQ_REVENUE_EST">"c1126"</definedName>
    <definedName name="IQ_REVENUE_HIGH_EST">"c1127"</definedName>
    <definedName name="IQ_REVENUE_LOW_EST">"c1128"</definedName>
    <definedName name="IQ_REVENUE_NUM_EST">"c1129"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ColHidden" hidden="1">FALSE</definedName>
    <definedName name="IsLTMColHidden" hidden="1">FALSE</definedName>
    <definedName name="MarketRiskPremium">#REF!</definedName>
    <definedName name="Name">Inputs!$E$3</definedName>
    <definedName name="_xlnm.Print_Area" localSheetId="3">'BS and Cash Flow'!$B$1:$O$95</definedName>
    <definedName name="_xlnm.Print_Area" localSheetId="2">IS!$B$1:$O$44</definedName>
    <definedName name="_xlnm.Print_Area" localSheetId="4">Ratios!$B$1:$O$48</definedName>
    <definedName name="_xlnm.Print_Area" localSheetId="5">Returns!$B$1:$O$49</definedName>
    <definedName name="_xlnm.Print_Area" localSheetId="1">'S&amp;U and Opening BS'!$B$17:$O$110</definedName>
    <definedName name="Ratios">#REF!</definedName>
    <definedName name="RiskFreeRate">#REF!</definedName>
    <definedName name="SizePremium">#REF!</definedName>
    <definedName name="Subheader">Inputs!$E$5</definedName>
    <definedName name="TTS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3" l="1"/>
  <c r="K36" i="3" s="1"/>
  <c r="L36" i="3" s="1"/>
  <c r="M36" i="3" s="1"/>
  <c r="N36" i="3" s="1"/>
  <c r="O36" i="3" s="1"/>
  <c r="J37" i="3"/>
  <c r="K37" i="3" s="1"/>
  <c r="L37" i="3" s="1"/>
  <c r="M37" i="3" s="1"/>
  <c r="N37" i="3" s="1"/>
  <c r="O37" i="3" s="1"/>
  <c r="Q32" i="3"/>
  <c r="G21" i="3"/>
  <c r="J33" i="3"/>
  <c r="K33" i="3" s="1"/>
  <c r="L33" i="3" s="1"/>
  <c r="M33" i="3" s="1"/>
  <c r="N33" i="3" s="1"/>
  <c r="O33" i="3" s="1"/>
  <c r="I92" i="6"/>
  <c r="I44" i="3"/>
  <c r="J44" i="3" s="1"/>
  <c r="I32" i="3"/>
  <c r="I8" i="3" s="1"/>
  <c r="I89" i="6" s="1"/>
  <c r="J89" i="6" s="1"/>
  <c r="K89" i="6" s="1"/>
  <c r="L89" i="6" s="1"/>
  <c r="M89" i="6" s="1"/>
  <c r="N89" i="6" s="1"/>
  <c r="O89" i="6" s="1"/>
  <c r="J66" i="6"/>
  <c r="I14" i="6"/>
  <c r="K19" i="6"/>
  <c r="L19" i="6" s="1"/>
  <c r="J19" i="6"/>
  <c r="I19" i="6"/>
  <c r="K57" i="6"/>
  <c r="I57" i="6"/>
  <c r="I56" i="6"/>
  <c r="I15" i="6"/>
  <c r="J15" i="6"/>
  <c r="K15" i="6" s="1"/>
  <c r="L15" i="6" s="1"/>
  <c r="M15" i="6" s="1"/>
  <c r="N15" i="6" s="1"/>
  <c r="O15" i="6" s="1"/>
  <c r="K16" i="6"/>
  <c r="L16" i="6" s="1"/>
  <c r="M16" i="6" s="1"/>
  <c r="N16" i="6" s="1"/>
  <c r="O16" i="6" s="1"/>
  <c r="J16" i="6"/>
  <c r="I16" i="6"/>
  <c r="K33" i="6"/>
  <c r="L33" i="6" s="1"/>
  <c r="M33" i="6" s="1"/>
  <c r="N33" i="6" s="1"/>
  <c r="O33" i="6" s="1"/>
  <c r="J33" i="6"/>
  <c r="I33" i="6"/>
  <c r="I63" i="6"/>
  <c r="F55" i="4"/>
  <c r="F54" i="4"/>
  <c r="H47" i="4"/>
  <c r="J86" i="6"/>
  <c r="K86" i="6" s="1"/>
  <c r="L86" i="6" s="1"/>
  <c r="M86" i="6" s="1"/>
  <c r="N86" i="6" s="1"/>
  <c r="O86" i="6" s="1"/>
  <c r="J85" i="6"/>
  <c r="K85" i="6" s="1"/>
  <c r="L85" i="6" s="1"/>
  <c r="M85" i="6" s="1"/>
  <c r="N85" i="6" s="1"/>
  <c r="O85" i="6" s="1"/>
  <c r="H81" i="6"/>
  <c r="I81" i="6" s="1"/>
  <c r="J81" i="6" s="1"/>
  <c r="I72" i="6"/>
  <c r="I16" i="3"/>
  <c r="J62" i="6"/>
  <c r="K62" i="6"/>
  <c r="L62" i="6"/>
  <c r="M62" i="6"/>
  <c r="N62" i="6"/>
  <c r="O62" i="6"/>
  <c r="I62" i="6"/>
  <c r="J59" i="6"/>
  <c r="K59" i="6"/>
  <c r="I59" i="6"/>
  <c r="J58" i="6"/>
  <c r="K58" i="6"/>
  <c r="L58" i="6"/>
  <c r="M58" i="6"/>
  <c r="N58" i="6"/>
  <c r="O58" i="6"/>
  <c r="I58" i="6"/>
  <c r="J56" i="6"/>
  <c r="K56" i="6"/>
  <c r="L56" i="6"/>
  <c r="M56" i="6"/>
  <c r="N56" i="6"/>
  <c r="O56" i="6"/>
  <c r="I48" i="6"/>
  <c r="H82" i="6"/>
  <c r="I82" i="6" s="1"/>
  <c r="J82" i="6" s="1"/>
  <c r="K82" i="6" s="1"/>
  <c r="L82" i="6" s="1"/>
  <c r="M82" i="6" s="1"/>
  <c r="N82" i="6" s="1"/>
  <c r="O82" i="6" s="1"/>
  <c r="H89" i="6"/>
  <c r="H91" i="6"/>
  <c r="H92" i="6" s="1"/>
  <c r="G20" i="3"/>
  <c r="H20" i="3" s="1"/>
  <c r="H83" i="6"/>
  <c r="I83" i="6" s="1"/>
  <c r="J83" i="6" s="1"/>
  <c r="K83" i="6" s="1"/>
  <c r="L83" i="6" s="1"/>
  <c r="M83" i="6" s="1"/>
  <c r="N83" i="6" s="1"/>
  <c r="O83" i="6" s="1"/>
  <c r="K28" i="4"/>
  <c r="F6" i="9"/>
  <c r="H9" i="3"/>
  <c r="H86" i="4"/>
  <c r="H90" i="4"/>
  <c r="M90" i="4"/>
  <c r="H19" i="6" s="1"/>
  <c r="H54" i="4"/>
  <c r="H55" i="4"/>
  <c r="H56" i="4"/>
  <c r="H57" i="4"/>
  <c r="G54" i="4"/>
  <c r="G55" i="4"/>
  <c r="G56" i="4"/>
  <c r="G57" i="4"/>
  <c r="H53" i="4"/>
  <c r="G53" i="4"/>
  <c r="F53" i="4"/>
  <c r="H34" i="4"/>
  <c r="O66" i="4"/>
  <c r="O65" i="4"/>
  <c r="H33" i="6"/>
  <c r="H18" i="6"/>
  <c r="H11" i="6"/>
  <c r="H10" i="6"/>
  <c r="H9" i="6"/>
  <c r="J99" i="4"/>
  <c r="J88" i="4"/>
  <c r="M104" i="4"/>
  <c r="M103" i="4"/>
  <c r="H32" i="6" s="1"/>
  <c r="M99" i="4"/>
  <c r="H28" i="6" s="1"/>
  <c r="M94" i="4"/>
  <c r="H23" i="6" s="1"/>
  <c r="M89" i="4"/>
  <c r="M87" i="4"/>
  <c r="H16" i="6" s="1"/>
  <c r="M86" i="4"/>
  <c r="H15" i="6" s="1"/>
  <c r="M85" i="4"/>
  <c r="H14" i="6" s="1"/>
  <c r="M82" i="4"/>
  <c r="M81" i="4"/>
  <c r="M80" i="4"/>
  <c r="M79" i="4"/>
  <c r="H8" i="6" s="1"/>
  <c r="H12" i="8" s="1"/>
  <c r="J79" i="4"/>
  <c r="H23" i="4"/>
  <c r="H104" i="4"/>
  <c r="H99" i="4"/>
  <c r="H96" i="4"/>
  <c r="M96" i="4" s="1"/>
  <c r="H25" i="6" s="1"/>
  <c r="H95" i="4"/>
  <c r="H97" i="4" s="1"/>
  <c r="H105" i="4" s="1"/>
  <c r="H109" i="4" s="1"/>
  <c r="H110" i="4" s="1"/>
  <c r="H83" i="4"/>
  <c r="H92" i="4"/>
  <c r="H38" i="3"/>
  <c r="H37" i="3"/>
  <c r="CZ9" i="8"/>
  <c r="CZ10" i="8"/>
  <c r="CZ11" i="8" s="1"/>
  <c r="CZ12" i="8"/>
  <c r="CZ23" i="8"/>
  <c r="CY9" i="8"/>
  <c r="CY10" i="8"/>
  <c r="CY12" i="8"/>
  <c r="CY23" i="8"/>
  <c r="CX9" i="8"/>
  <c r="CX11" i="8" s="1"/>
  <c r="CX10" i="8"/>
  <c r="CX12" i="8"/>
  <c r="CX23" i="8"/>
  <c r="CW9" i="8"/>
  <c r="CW10" i="8"/>
  <c r="CW12" i="8"/>
  <c r="CW23" i="8"/>
  <c r="CW21" i="8"/>
  <c r="CV9" i="8"/>
  <c r="CV11" i="8" s="1"/>
  <c r="CV10" i="8"/>
  <c r="CV12" i="8"/>
  <c r="CV23" i="8"/>
  <c r="CU9" i="8"/>
  <c r="CU10" i="8"/>
  <c r="CU12" i="8"/>
  <c r="CU23" i="8"/>
  <c r="CT9" i="8"/>
  <c r="CT11" i="8" s="1"/>
  <c r="CT10" i="8"/>
  <c r="CT12" i="8"/>
  <c r="CT23" i="8"/>
  <c r="CS9" i="8"/>
  <c r="CS10" i="8"/>
  <c r="CS12" i="8"/>
  <c r="CS23" i="8"/>
  <c r="CS21" i="8"/>
  <c r="CZ15" i="8"/>
  <c r="CY15" i="8"/>
  <c r="CX15" i="8"/>
  <c r="CW15" i="8"/>
  <c r="CV15" i="8"/>
  <c r="CU15" i="8"/>
  <c r="CT15" i="8"/>
  <c r="CS15" i="8"/>
  <c r="CZ28" i="8"/>
  <c r="CZ20" i="8"/>
  <c r="CZ21" i="8"/>
  <c r="CY28" i="8"/>
  <c r="CY21" i="8"/>
  <c r="CX28" i="8"/>
  <c r="CX21" i="8"/>
  <c r="CW28" i="8"/>
  <c r="CV28" i="8"/>
  <c r="CV20" i="8"/>
  <c r="CV30" i="8" s="1"/>
  <c r="CV21" i="8"/>
  <c r="CU28" i="8"/>
  <c r="CU21" i="8"/>
  <c r="CT28" i="8"/>
  <c r="CT21" i="8"/>
  <c r="CS28" i="8"/>
  <c r="CY20" i="8"/>
  <c r="CX20" i="8"/>
  <c r="CW20" i="8"/>
  <c r="CU20" i="8"/>
  <c r="CT20" i="8"/>
  <c r="CS20" i="8"/>
  <c r="CZ19" i="8"/>
  <c r="CY19" i="8"/>
  <c r="CX19" i="8"/>
  <c r="CW19" i="8"/>
  <c r="CV19" i="8"/>
  <c r="CU19" i="8"/>
  <c r="CT19" i="8"/>
  <c r="CS19" i="8"/>
  <c r="C33" i="6"/>
  <c r="B59" i="6" s="1"/>
  <c r="C32" i="6"/>
  <c r="B58" i="6" s="1"/>
  <c r="C31" i="6"/>
  <c r="C30" i="6"/>
  <c r="C29" i="6"/>
  <c r="C28" i="6"/>
  <c r="C25" i="6"/>
  <c r="B55" i="6"/>
  <c r="C24" i="6"/>
  <c r="B85" i="6" s="1"/>
  <c r="C23" i="6"/>
  <c r="B53" i="6" s="1"/>
  <c r="C20" i="6"/>
  <c r="C19" i="6"/>
  <c r="B57" i="6" s="1"/>
  <c r="C18" i="6"/>
  <c r="C17" i="6"/>
  <c r="C16" i="6"/>
  <c r="C15" i="6"/>
  <c r="C14" i="6"/>
  <c r="C11" i="6"/>
  <c r="B83" i="6" s="1"/>
  <c r="C10" i="6"/>
  <c r="B51" i="6" s="1"/>
  <c r="C9" i="6"/>
  <c r="B81" i="6" s="1"/>
  <c r="C8" i="6"/>
  <c r="B17" i="4"/>
  <c r="B73" i="4" s="1"/>
  <c r="R138" i="4"/>
  <c r="R139" i="4"/>
  <c r="Q113" i="4"/>
  <c r="Q132" i="4" s="1"/>
  <c r="R119" i="4"/>
  <c r="R120" i="4" s="1"/>
  <c r="R121" i="4" s="1"/>
  <c r="R122" i="4" s="1"/>
  <c r="R123" i="4" s="1"/>
  <c r="R124" i="4" s="1"/>
  <c r="R125" i="4" s="1"/>
  <c r="R126" i="4" s="1"/>
  <c r="R127" i="4" s="1"/>
  <c r="R128" i="4" s="1"/>
  <c r="I37" i="9"/>
  <c r="J37" i="9"/>
  <c r="K37" i="9"/>
  <c r="L37" i="9"/>
  <c r="M37" i="9"/>
  <c r="N37" i="9"/>
  <c r="O37" i="9"/>
  <c r="Q38" i="9"/>
  <c r="J38" i="9"/>
  <c r="K38" i="9"/>
  <c r="L38" i="9"/>
  <c r="M38" i="9"/>
  <c r="N38" i="9"/>
  <c r="O38" i="9"/>
  <c r="J9" i="9"/>
  <c r="K9" i="9"/>
  <c r="L9" i="9"/>
  <c r="M9" i="9"/>
  <c r="N9" i="9"/>
  <c r="O9" i="9"/>
  <c r="K29" i="4"/>
  <c r="C36" i="4"/>
  <c r="C32" i="4"/>
  <c r="B41" i="4"/>
  <c r="B40" i="4"/>
  <c r="O18" i="4"/>
  <c r="O42" i="6"/>
  <c r="O2" i="3"/>
  <c r="O2" i="9"/>
  <c r="O2" i="6"/>
  <c r="I6" i="6"/>
  <c r="J6" i="6"/>
  <c r="K6" i="6"/>
  <c r="L6" i="6"/>
  <c r="M6" i="6" s="1"/>
  <c r="N6" i="6" s="1"/>
  <c r="O6" i="6" s="1"/>
  <c r="I8" i="9"/>
  <c r="J8" i="9"/>
  <c r="K8" i="9"/>
  <c r="L8" i="9"/>
  <c r="M8" i="9"/>
  <c r="N8" i="9"/>
  <c r="O8" i="9"/>
  <c r="H6" i="8"/>
  <c r="I6" i="8"/>
  <c r="J6" i="8"/>
  <c r="K6" i="8"/>
  <c r="L6" i="8"/>
  <c r="M6" i="8"/>
  <c r="N6" i="8"/>
  <c r="O6" i="8"/>
  <c r="H77" i="4"/>
  <c r="M77" i="4"/>
  <c r="B75" i="4"/>
  <c r="H79" i="6"/>
  <c r="O31" i="9"/>
  <c r="O2" i="8"/>
  <c r="H5" i="8"/>
  <c r="I5" i="8"/>
  <c r="B3" i="8"/>
  <c r="D29" i="8"/>
  <c r="D30" i="8"/>
  <c r="D31" i="8"/>
  <c r="G43" i="9"/>
  <c r="G44" i="9"/>
  <c r="G49" i="9"/>
  <c r="G47" i="9"/>
  <c r="B56" i="6"/>
  <c r="H78" i="6"/>
  <c r="I78" i="6"/>
  <c r="I44" i="6"/>
  <c r="B43" i="6"/>
  <c r="H5" i="6"/>
  <c r="I5" i="6"/>
  <c r="B3" i="6"/>
  <c r="B3" i="3"/>
  <c r="B19" i="4"/>
  <c r="C33" i="4"/>
  <c r="M40" i="4"/>
  <c r="N40" i="4" s="1"/>
  <c r="O40" i="4" s="1"/>
  <c r="N58" i="4"/>
  <c r="O58" i="4" s="1"/>
  <c r="Q39" i="9"/>
  <c r="CY11" i="8"/>
  <c r="CY16" i="8" s="1"/>
  <c r="CY34" i="8" s="1"/>
  <c r="CY37" i="8"/>
  <c r="CY13" i="8"/>
  <c r="CY35" i="8" s="1"/>
  <c r="G48" i="9"/>
  <c r="CS11" i="8"/>
  <c r="CS13" i="8" s="1"/>
  <c r="I6" i="3"/>
  <c r="I79" i="6" s="1"/>
  <c r="B86" i="6"/>
  <c r="CU11" i="8"/>
  <c r="CU37" i="8" s="1"/>
  <c r="CW11" i="8"/>
  <c r="CW13" i="8" s="1"/>
  <c r="R140" i="4"/>
  <c r="CS37" i="8"/>
  <c r="CU16" i="8"/>
  <c r="CU40" i="8"/>
  <c r="CU13" i="8"/>
  <c r="CU38" i="8" s="1"/>
  <c r="R141" i="4"/>
  <c r="R142" i="4" s="1"/>
  <c r="R143" i="4" s="1"/>
  <c r="R144" i="4" s="1"/>
  <c r="R145" i="4" s="1"/>
  <c r="R146" i="4" s="1"/>
  <c r="R147" i="4" s="1"/>
  <c r="CU34" i="8"/>
  <c r="G22" i="3" l="1"/>
  <c r="G23" i="3"/>
  <c r="J35" i="3"/>
  <c r="K35" i="3" s="1"/>
  <c r="L35" i="3" s="1"/>
  <c r="M35" i="3" s="1"/>
  <c r="N35" i="3" s="1"/>
  <c r="O35" i="3" s="1"/>
  <c r="J34" i="3"/>
  <c r="J32" i="3" s="1"/>
  <c r="K81" i="6"/>
  <c r="L81" i="6" s="1"/>
  <c r="M81" i="6" s="1"/>
  <c r="N81" i="6" s="1"/>
  <c r="O81" i="6" s="1"/>
  <c r="K34" i="3"/>
  <c r="K32" i="3" s="1"/>
  <c r="I11" i="6"/>
  <c r="I9" i="6"/>
  <c r="L57" i="6"/>
  <c r="M19" i="6"/>
  <c r="J57" i="6"/>
  <c r="L59" i="6"/>
  <c r="H58" i="4"/>
  <c r="H43" i="4" s="1"/>
  <c r="G58" i="4"/>
  <c r="H48" i="4" s="1"/>
  <c r="H49" i="4" s="1"/>
  <c r="H40" i="4" s="1"/>
  <c r="H42" i="4" s="1"/>
  <c r="H44" i="4" s="1"/>
  <c r="B1" i="3"/>
  <c r="B30" i="9"/>
  <c r="B1" i="6"/>
  <c r="B1" i="8"/>
  <c r="B1" i="9"/>
  <c r="CY40" i="8"/>
  <c r="CZ13" i="8"/>
  <c r="CZ44" i="8" s="1"/>
  <c r="CZ37" i="8"/>
  <c r="CZ16" i="8"/>
  <c r="CZ40" i="8" s="1"/>
  <c r="CS38" i="8"/>
  <c r="CT16" i="8"/>
  <c r="CT37" i="8"/>
  <c r="CT34" i="8"/>
  <c r="CT13" i="8"/>
  <c r="CX16" i="8"/>
  <c r="CX40" i="8" s="1"/>
  <c r="CX34" i="8"/>
  <c r="CX37" i="8"/>
  <c r="CX13" i="8"/>
  <c r="CV13" i="8"/>
  <c r="CV34" i="8"/>
  <c r="CV37" i="8"/>
  <c r="CV16" i="8"/>
  <c r="CV40" i="8" s="1"/>
  <c r="CT40" i="8"/>
  <c r="CW38" i="8"/>
  <c r="CW35" i="8"/>
  <c r="CW37" i="8"/>
  <c r="CX43" i="8"/>
  <c r="CZ43" i="8"/>
  <c r="B82" i="6"/>
  <c r="CY38" i="8"/>
  <c r="B52" i="6"/>
  <c r="B84" i="6"/>
  <c r="CS44" i="8"/>
  <c r="B50" i="6"/>
  <c r="H86" i="6"/>
  <c r="CS16" i="8"/>
  <c r="CS40" i="8" s="1"/>
  <c r="CY44" i="8"/>
  <c r="CU35" i="8"/>
  <c r="CW16" i="8"/>
  <c r="CW40" i="8" s="1"/>
  <c r="CT44" i="8"/>
  <c r="CV42" i="8"/>
  <c r="CT24" i="8"/>
  <c r="CT30" i="8"/>
  <c r="CX42" i="8"/>
  <c r="CU30" i="8"/>
  <c r="CV31" i="8"/>
  <c r="CZ31" i="8"/>
  <c r="CU25" i="8"/>
  <c r="CW26" i="8"/>
  <c r="CS29" i="8"/>
  <c r="CW25" i="8"/>
  <c r="CT29" i="8"/>
  <c r="CT25" i="8"/>
  <c r="CW42" i="8"/>
  <c r="CS30" i="8"/>
  <c r="CW29" i="8"/>
  <c r="CU44" i="8"/>
  <c r="CT31" i="8"/>
  <c r="CY24" i="8"/>
  <c r="CY25" i="8"/>
  <c r="CX29" i="8"/>
  <c r="CX30" i="8"/>
  <c r="CV29" i="8"/>
  <c r="CV43" i="8"/>
  <c r="CX25" i="8"/>
  <c r="CV26" i="8"/>
  <c r="CZ24" i="8"/>
  <c r="CZ30" i="8"/>
  <c r="CX44" i="8"/>
  <c r="CZ42" i="8"/>
  <c r="CS31" i="8"/>
  <c r="CT43" i="8"/>
  <c r="CU43" i="8"/>
  <c r="CW30" i="8"/>
  <c r="CS43" i="8"/>
  <c r="CY43" i="8"/>
  <c r="CS26" i="8"/>
  <c r="CY42" i="8"/>
  <c r="CW24" i="8"/>
  <c r="CW44" i="8"/>
  <c r="CS42" i="8"/>
  <c r="I45" i="6"/>
  <c r="I9" i="3"/>
  <c r="CU31" i="8"/>
  <c r="CX31" i="8"/>
  <c r="CS25" i="8"/>
  <c r="J6" i="3"/>
  <c r="J45" i="6" s="1"/>
  <c r="CW43" i="8"/>
  <c r="CU26" i="8"/>
  <c r="CW31" i="8"/>
  <c r="CV25" i="8"/>
  <c r="CY30" i="8"/>
  <c r="CY26" i="8"/>
  <c r="CS24" i="8"/>
  <c r="CX24" i="8"/>
  <c r="CZ25" i="8"/>
  <c r="K38" i="3"/>
  <c r="CZ29" i="8"/>
  <c r="I13" i="3"/>
  <c r="CU29" i="8"/>
  <c r="H10" i="3"/>
  <c r="H36" i="3" s="1"/>
  <c r="H84" i="6"/>
  <c r="I84" i="6" s="1"/>
  <c r="J84" i="6" s="1"/>
  <c r="K84" i="6" s="1"/>
  <c r="L84" i="6" s="1"/>
  <c r="M84" i="6" s="1"/>
  <c r="N84" i="6" s="1"/>
  <c r="O84" i="6" s="1"/>
  <c r="CT42" i="8"/>
  <c r="CU42" i="8"/>
  <c r="CY31" i="8"/>
  <c r="CV24" i="8"/>
  <c r="CZ26" i="8"/>
  <c r="CU24" i="8"/>
  <c r="H85" i="6"/>
  <c r="CY29" i="8"/>
  <c r="CT26" i="8"/>
  <c r="I12" i="3"/>
  <c r="CX26" i="8"/>
  <c r="M83" i="4"/>
  <c r="H12" i="6" s="1"/>
  <c r="M95" i="4"/>
  <c r="H24" i="6" s="1"/>
  <c r="B41" i="6"/>
  <c r="B54" i="6"/>
  <c r="M97" i="4"/>
  <c r="H26" i="6" s="1"/>
  <c r="L34" i="3" l="1"/>
  <c r="L32" i="3" s="1"/>
  <c r="I50" i="6"/>
  <c r="I10" i="3"/>
  <c r="I14" i="3" s="1"/>
  <c r="I41" i="3" s="1"/>
  <c r="I23" i="6"/>
  <c r="I24" i="6"/>
  <c r="I54" i="6" s="1"/>
  <c r="I10" i="6"/>
  <c r="I51" i="6" s="1"/>
  <c r="I25" i="6"/>
  <c r="I55" i="6" s="1"/>
  <c r="I52" i="6"/>
  <c r="N19" i="6"/>
  <c r="M57" i="6"/>
  <c r="M59" i="6"/>
  <c r="H32" i="4"/>
  <c r="J59" i="4"/>
  <c r="CV35" i="8"/>
  <c r="CV38" i="8"/>
  <c r="CS35" i="8"/>
  <c r="CS34" i="8"/>
  <c r="CZ34" i="8"/>
  <c r="CW34" i="8"/>
  <c r="CT38" i="8"/>
  <c r="CT35" i="8"/>
  <c r="CZ35" i="8"/>
  <c r="CZ38" i="8"/>
  <c r="CV44" i="8"/>
  <c r="CX38" i="8"/>
  <c r="CX35" i="8"/>
  <c r="J8" i="3"/>
  <c r="J79" i="6"/>
  <c r="K6" i="3"/>
  <c r="H14" i="3"/>
  <c r="H41" i="3" s="1"/>
  <c r="L38" i="3"/>
  <c r="K79" i="6" l="1"/>
  <c r="K45" i="6"/>
  <c r="H36" i="4"/>
  <c r="J107" i="4" s="1"/>
  <c r="O64" i="4"/>
  <c r="O67" i="4" s="1"/>
  <c r="K88" i="4" s="1"/>
  <c r="M88" i="4" s="1"/>
  <c r="H17" i="6" s="1"/>
  <c r="I17" i="6" s="1"/>
  <c r="J17" i="6" s="1"/>
  <c r="K17" i="6" s="1"/>
  <c r="L17" i="6" s="1"/>
  <c r="M17" i="6" s="1"/>
  <c r="N17" i="6" s="1"/>
  <c r="O17" i="6" s="1"/>
  <c r="M34" i="3"/>
  <c r="M32" i="3" s="1"/>
  <c r="J9" i="6"/>
  <c r="J11" i="6"/>
  <c r="I26" i="6"/>
  <c r="I53" i="6"/>
  <c r="I75" i="6" s="1"/>
  <c r="N41" i="4"/>
  <c r="O19" i="6"/>
  <c r="O57" i="6" s="1"/>
  <c r="N57" i="6"/>
  <c r="O59" i="6"/>
  <c r="N59" i="6"/>
  <c r="N59" i="4"/>
  <c r="O59" i="4"/>
  <c r="J13" i="3"/>
  <c r="J88" i="6"/>
  <c r="J12" i="3"/>
  <c r="J9" i="3"/>
  <c r="K8" i="3"/>
  <c r="I17" i="3"/>
  <c r="I23" i="8"/>
  <c r="I28" i="8" s="1"/>
  <c r="O60" i="4"/>
  <c r="L6" i="3"/>
  <c r="L79" i="6" s="1"/>
  <c r="M38" i="3"/>
  <c r="N60" i="4"/>
  <c r="M41" i="4"/>
  <c r="H23" i="8"/>
  <c r="H17" i="3"/>
  <c r="L45" i="6"/>
  <c r="S129" i="4" l="1"/>
  <c r="S148" i="4" s="1"/>
  <c r="G14" i="9"/>
  <c r="N34" i="3"/>
  <c r="N32" i="3" s="1"/>
  <c r="J63" i="6"/>
  <c r="J52" i="6"/>
  <c r="J10" i="3"/>
  <c r="J14" i="3" s="1"/>
  <c r="J25" i="6"/>
  <c r="J55" i="6" s="1"/>
  <c r="J23" i="6"/>
  <c r="J24" i="6"/>
  <c r="J54" i="6" s="1"/>
  <c r="J10" i="6"/>
  <c r="J51" i="6" s="1"/>
  <c r="K88" i="6"/>
  <c r="K63" i="6" s="1"/>
  <c r="K11" i="6"/>
  <c r="K9" i="6"/>
  <c r="K50" i="6" s="1"/>
  <c r="J50" i="6"/>
  <c r="M6" i="3"/>
  <c r="J91" i="6"/>
  <c r="J14" i="6" s="1"/>
  <c r="O61" i="4"/>
  <c r="I42" i="3"/>
  <c r="L8" i="3"/>
  <c r="K12" i="3"/>
  <c r="K9" i="3"/>
  <c r="K13" i="3"/>
  <c r="I10" i="9"/>
  <c r="M79" i="6"/>
  <c r="M45" i="6"/>
  <c r="N6" i="3"/>
  <c r="N61" i="4"/>
  <c r="H42" i="3"/>
  <c r="H28" i="8"/>
  <c r="N38" i="3"/>
  <c r="J54" i="4" l="1"/>
  <c r="G13" i="9"/>
  <c r="I13" i="9" s="1"/>
  <c r="G15" i="9"/>
  <c r="I15" i="9" s="1"/>
  <c r="G21" i="9"/>
  <c r="G26" i="9"/>
  <c r="O34" i="3"/>
  <c r="O32" i="3" s="1"/>
  <c r="I14" i="9"/>
  <c r="K91" i="6"/>
  <c r="J23" i="8"/>
  <c r="O41" i="4"/>
  <c r="J41" i="3"/>
  <c r="J26" i="6"/>
  <c r="J53" i="6"/>
  <c r="J75" i="6" s="1"/>
  <c r="L88" i="6"/>
  <c r="L63" i="6" s="1"/>
  <c r="L11" i="6"/>
  <c r="L9" i="6"/>
  <c r="L50" i="6" s="1"/>
  <c r="K10" i="3"/>
  <c r="K14" i="3" s="1"/>
  <c r="K24" i="6"/>
  <c r="K54" i="6" s="1"/>
  <c r="K25" i="6"/>
  <c r="K55" i="6" s="1"/>
  <c r="K23" i="6"/>
  <c r="K10" i="6"/>
  <c r="K51" i="6" s="1"/>
  <c r="K52" i="6"/>
  <c r="J48" i="6"/>
  <c r="J16" i="3"/>
  <c r="J17" i="3" s="1"/>
  <c r="M8" i="3"/>
  <c r="L9" i="3"/>
  <c r="L13" i="3"/>
  <c r="L12" i="3"/>
  <c r="O38" i="3"/>
  <c r="N79" i="6"/>
  <c r="O6" i="3"/>
  <c r="N45" i="6"/>
  <c r="G20" i="9" l="1"/>
  <c r="J53" i="4"/>
  <c r="G25" i="9"/>
  <c r="G27" i="9"/>
  <c r="J55" i="4"/>
  <c r="G22" i="9"/>
  <c r="K14" i="6"/>
  <c r="K16" i="3"/>
  <c r="K17" i="3" s="1"/>
  <c r="K48" i="6"/>
  <c r="L91" i="6"/>
  <c r="L10" i="3"/>
  <c r="L14" i="3" s="1"/>
  <c r="L23" i="6"/>
  <c r="L24" i="6"/>
  <c r="L54" i="6" s="1"/>
  <c r="L25" i="6"/>
  <c r="L10" i="6"/>
  <c r="L51" i="6" s="1"/>
  <c r="M88" i="6"/>
  <c r="M63" i="6" s="1"/>
  <c r="M11" i="6"/>
  <c r="M52" i="6" s="1"/>
  <c r="M9" i="6"/>
  <c r="L52" i="6"/>
  <c r="J10" i="9"/>
  <c r="J28" i="8"/>
  <c r="K26" i="6"/>
  <c r="K53" i="6"/>
  <c r="K75" i="6" s="1"/>
  <c r="J42" i="3"/>
  <c r="M13" i="3"/>
  <c r="M12" i="3"/>
  <c r="N8" i="3"/>
  <c r="M9" i="3"/>
  <c r="K41" i="3"/>
  <c r="K23" i="8"/>
  <c r="O79" i="6"/>
  <c r="O45" i="6"/>
  <c r="L14" i="6" l="1"/>
  <c r="L48" i="6"/>
  <c r="L16" i="3"/>
  <c r="L17" i="3" s="1"/>
  <c r="M91" i="6"/>
  <c r="J14" i="9"/>
  <c r="J13" i="9"/>
  <c r="J15" i="9"/>
  <c r="L55" i="6"/>
  <c r="M10" i="3"/>
  <c r="M14" i="3" s="1"/>
  <c r="M41" i="3" s="1"/>
  <c r="M23" i="6"/>
  <c r="M24" i="6"/>
  <c r="M54" i="6" s="1"/>
  <c r="M10" i="6"/>
  <c r="M51" i="6" s="1"/>
  <c r="M25" i="6"/>
  <c r="M55" i="6" s="1"/>
  <c r="L53" i="6"/>
  <c r="L26" i="6"/>
  <c r="N88" i="6"/>
  <c r="N63" i="6" s="1"/>
  <c r="N9" i="6"/>
  <c r="N50" i="6" s="1"/>
  <c r="N11" i="6"/>
  <c r="N52" i="6" s="1"/>
  <c r="M50" i="6"/>
  <c r="K28" i="8"/>
  <c r="K10" i="9"/>
  <c r="K42" i="3"/>
  <c r="N13" i="3"/>
  <c r="O8" i="3"/>
  <c r="N12" i="3"/>
  <c r="N9" i="3"/>
  <c r="L41" i="3"/>
  <c r="L23" i="8"/>
  <c r="M14" i="6" l="1"/>
  <c r="L75" i="6"/>
  <c r="M16" i="3"/>
  <c r="M17" i="3" s="1"/>
  <c r="M42" i="3" s="1"/>
  <c r="M48" i="6"/>
  <c r="N10" i="3"/>
  <c r="N14" i="3" s="1"/>
  <c r="N23" i="8" s="1"/>
  <c r="N28" i="8" s="1"/>
  <c r="N23" i="6"/>
  <c r="N24" i="6"/>
  <c r="N54" i="6" s="1"/>
  <c r="N10" i="6"/>
  <c r="N51" i="6" s="1"/>
  <c r="N25" i="6"/>
  <c r="N55" i="6" s="1"/>
  <c r="M53" i="6"/>
  <c r="M75" i="6" s="1"/>
  <c r="M26" i="6"/>
  <c r="N91" i="6"/>
  <c r="O88" i="6"/>
  <c r="O63" i="6" s="1"/>
  <c r="O9" i="6"/>
  <c r="O50" i="6" s="1"/>
  <c r="O11" i="6"/>
  <c r="O52" i="6" s="1"/>
  <c r="M23" i="8"/>
  <c r="M28" i="8" s="1"/>
  <c r="K14" i="9"/>
  <c r="K15" i="9"/>
  <c r="K13" i="9"/>
  <c r="O12" i="3"/>
  <c r="O13" i="3"/>
  <c r="O9" i="3"/>
  <c r="L28" i="8"/>
  <c r="L10" i="9"/>
  <c r="L42" i="3"/>
  <c r="N48" i="6" l="1"/>
  <c r="N16" i="3"/>
  <c r="N17" i="3" s="1"/>
  <c r="N14" i="6"/>
  <c r="O91" i="6"/>
  <c r="N41" i="3"/>
  <c r="O10" i="3"/>
  <c r="O14" i="3" s="1"/>
  <c r="O41" i="3" s="1"/>
  <c r="O10" i="6"/>
  <c r="O51" i="6" s="1"/>
  <c r="O23" i="6"/>
  <c r="O24" i="6"/>
  <c r="O54" i="6" s="1"/>
  <c r="O25" i="6"/>
  <c r="O55" i="6" s="1"/>
  <c r="N53" i="6"/>
  <c r="N75" i="6" s="1"/>
  <c r="N26" i="6"/>
  <c r="M10" i="9"/>
  <c r="N10" i="9"/>
  <c r="N15" i="9" s="1"/>
  <c r="L15" i="9"/>
  <c r="L14" i="9"/>
  <c r="L13" i="9"/>
  <c r="O14" i="6" l="1"/>
  <c r="O16" i="3"/>
  <c r="O17" i="3" s="1"/>
  <c r="O42" i="3" s="1"/>
  <c r="O48" i="6"/>
  <c r="N14" i="9"/>
  <c r="N13" i="9"/>
  <c r="O53" i="6"/>
  <c r="O75" i="6" s="1"/>
  <c r="O26" i="6"/>
  <c r="O23" i="8"/>
  <c r="O10" i="9" s="1"/>
  <c r="M14" i="9"/>
  <c r="M13" i="9"/>
  <c r="M15" i="9"/>
  <c r="N42" i="3"/>
  <c r="O28" i="8" l="1"/>
  <c r="O14" i="9"/>
  <c r="O13" i="9"/>
  <c r="O15" i="9"/>
  <c r="K44" i="3"/>
  <c r="L44" i="3"/>
  <c r="M44" i="3"/>
  <c r="N44" i="3"/>
  <c r="O44" i="3"/>
  <c r="I8" i="6" l="1"/>
  <c r="J8" i="6"/>
  <c r="K8" i="6"/>
  <c r="L8" i="6"/>
  <c r="M8" i="6"/>
  <c r="N8" i="6"/>
  <c r="O8" i="6"/>
  <c r="I12" i="6"/>
  <c r="J12" i="6"/>
  <c r="K12" i="6"/>
  <c r="L12" i="6"/>
  <c r="M12" i="6"/>
  <c r="N12" i="6"/>
  <c r="O12" i="6"/>
  <c r="H20" i="6"/>
  <c r="H21" i="6"/>
  <c r="I21" i="6"/>
  <c r="J21" i="6"/>
  <c r="K21" i="6"/>
  <c r="L21" i="6"/>
  <c r="M21" i="6"/>
  <c r="N21" i="6"/>
  <c r="O21" i="6"/>
  <c r="H29" i="6"/>
  <c r="I29" i="6"/>
  <c r="J29" i="6"/>
  <c r="K29" i="6"/>
  <c r="L29" i="6"/>
  <c r="M29" i="6"/>
  <c r="N29" i="6"/>
  <c r="O29" i="6"/>
  <c r="H30" i="6"/>
  <c r="I30" i="6"/>
  <c r="J30" i="6"/>
  <c r="K30" i="6"/>
  <c r="L30" i="6"/>
  <c r="M30" i="6"/>
  <c r="N30" i="6"/>
  <c r="O30" i="6"/>
  <c r="H31" i="6"/>
  <c r="I31" i="6"/>
  <c r="J31" i="6"/>
  <c r="K31" i="6"/>
  <c r="L31" i="6"/>
  <c r="M31" i="6"/>
  <c r="N31" i="6"/>
  <c r="O31" i="6"/>
  <c r="H34" i="6"/>
  <c r="I34" i="6"/>
  <c r="J34" i="6"/>
  <c r="K34" i="6"/>
  <c r="L34" i="6"/>
  <c r="M34" i="6"/>
  <c r="N34" i="6"/>
  <c r="O34" i="6"/>
  <c r="H36" i="6"/>
  <c r="I36" i="6"/>
  <c r="J36" i="6"/>
  <c r="K36" i="6"/>
  <c r="L36" i="6"/>
  <c r="M36" i="6"/>
  <c r="N36" i="6"/>
  <c r="O36" i="6"/>
  <c r="H38" i="6"/>
  <c r="I38" i="6"/>
  <c r="J38" i="6"/>
  <c r="K38" i="6"/>
  <c r="L38" i="6"/>
  <c r="M38" i="6"/>
  <c r="N38" i="6"/>
  <c r="O38" i="6"/>
  <c r="H39" i="6"/>
  <c r="J47" i="6"/>
  <c r="K47" i="6"/>
  <c r="L47" i="6"/>
  <c r="M47" i="6"/>
  <c r="N47" i="6"/>
  <c r="O47" i="6"/>
  <c r="I49" i="6"/>
  <c r="I60" i="6"/>
  <c r="J60" i="6"/>
  <c r="K60" i="6"/>
  <c r="L60" i="6"/>
  <c r="M60" i="6"/>
  <c r="N60" i="6"/>
  <c r="O60" i="6"/>
  <c r="I64" i="6"/>
  <c r="J64" i="6"/>
  <c r="K64" i="6"/>
  <c r="L64" i="6"/>
  <c r="M64" i="6"/>
  <c r="N64" i="6"/>
  <c r="O64" i="6"/>
  <c r="L66" i="6"/>
  <c r="M66" i="6"/>
  <c r="N66" i="6"/>
  <c r="O66" i="6"/>
  <c r="I67" i="6"/>
  <c r="J67" i="6"/>
  <c r="K67" i="6"/>
  <c r="L67" i="6"/>
  <c r="M67" i="6"/>
  <c r="N67" i="6"/>
  <c r="O67" i="6"/>
  <c r="I69" i="6"/>
  <c r="J69" i="6"/>
  <c r="K69" i="6"/>
  <c r="L69" i="6"/>
  <c r="M69" i="6"/>
  <c r="N69" i="6"/>
  <c r="O69" i="6"/>
  <c r="I70" i="6"/>
  <c r="J70" i="6"/>
  <c r="K70" i="6"/>
  <c r="L70" i="6"/>
  <c r="M70" i="6"/>
  <c r="N70" i="6"/>
  <c r="O70" i="6"/>
  <c r="J72" i="6"/>
  <c r="K72" i="6"/>
  <c r="L72" i="6"/>
  <c r="M72" i="6"/>
  <c r="N72" i="6"/>
  <c r="O72" i="6"/>
  <c r="I73" i="6"/>
  <c r="J73" i="6"/>
  <c r="K73" i="6"/>
  <c r="L73" i="6"/>
  <c r="M73" i="6"/>
  <c r="N73" i="6"/>
  <c r="O73" i="6"/>
  <c r="I20" i="3"/>
  <c r="J20" i="3"/>
  <c r="K20" i="3"/>
  <c r="L20" i="3"/>
  <c r="M20" i="3"/>
  <c r="N20" i="3"/>
  <c r="O20" i="3"/>
  <c r="H21" i="3"/>
  <c r="I21" i="3"/>
  <c r="J21" i="3"/>
  <c r="K21" i="3"/>
  <c r="L21" i="3"/>
  <c r="M21" i="3"/>
  <c r="N21" i="3"/>
  <c r="O21" i="3"/>
  <c r="H22" i="3"/>
  <c r="I22" i="3"/>
  <c r="J22" i="3"/>
  <c r="K22" i="3"/>
  <c r="L22" i="3"/>
  <c r="M22" i="3"/>
  <c r="N22" i="3"/>
  <c r="O22" i="3"/>
  <c r="H23" i="3"/>
  <c r="I23" i="3"/>
  <c r="J23" i="3"/>
  <c r="K23" i="3"/>
  <c r="L23" i="3"/>
  <c r="M23" i="3"/>
  <c r="N23" i="3"/>
  <c r="O23" i="3"/>
  <c r="H24" i="3"/>
  <c r="I24" i="3"/>
  <c r="J24" i="3"/>
  <c r="K24" i="3"/>
  <c r="L24" i="3"/>
  <c r="M24" i="3"/>
  <c r="N24" i="3"/>
  <c r="O24" i="3"/>
  <c r="H25" i="3"/>
  <c r="I25" i="3"/>
  <c r="J25" i="3"/>
  <c r="K25" i="3"/>
  <c r="L25" i="3"/>
  <c r="M25" i="3"/>
  <c r="N25" i="3"/>
  <c r="O25" i="3"/>
  <c r="H27" i="3"/>
  <c r="I27" i="3"/>
  <c r="J27" i="3"/>
  <c r="K27" i="3"/>
  <c r="L27" i="3"/>
  <c r="M27" i="3"/>
  <c r="N27" i="3"/>
  <c r="O27" i="3"/>
  <c r="I28" i="3"/>
  <c r="J28" i="3"/>
  <c r="K28" i="3"/>
  <c r="L28" i="3"/>
  <c r="M28" i="3"/>
  <c r="N28" i="3"/>
  <c r="O28" i="3"/>
  <c r="H29" i="3"/>
  <c r="I29" i="3"/>
  <c r="J29" i="3"/>
  <c r="K29" i="3"/>
  <c r="L29" i="3"/>
  <c r="M29" i="3"/>
  <c r="N29" i="3"/>
  <c r="O29" i="3"/>
  <c r="I40" i="3"/>
  <c r="J40" i="3"/>
  <c r="K40" i="3"/>
  <c r="L40" i="3"/>
  <c r="M40" i="3"/>
  <c r="N40" i="3"/>
  <c r="O40" i="3"/>
  <c r="H9" i="8"/>
  <c r="I9" i="8"/>
  <c r="J9" i="8"/>
  <c r="K9" i="8"/>
  <c r="L9" i="8"/>
  <c r="M9" i="8"/>
  <c r="N9" i="8"/>
  <c r="O9" i="8"/>
  <c r="H10" i="8"/>
  <c r="I10" i="8"/>
  <c r="J10" i="8"/>
  <c r="K10" i="8"/>
  <c r="L10" i="8"/>
  <c r="M10" i="8"/>
  <c r="N10" i="8"/>
  <c r="O10" i="8"/>
  <c r="H11" i="8"/>
  <c r="I11" i="8"/>
  <c r="J11" i="8"/>
  <c r="K11" i="8"/>
  <c r="L11" i="8"/>
  <c r="M11" i="8"/>
  <c r="N11" i="8"/>
  <c r="O11" i="8"/>
  <c r="I12" i="8"/>
  <c r="J12" i="8"/>
  <c r="K12" i="8"/>
  <c r="L12" i="8"/>
  <c r="M12" i="8"/>
  <c r="N12" i="8"/>
  <c r="O12" i="8"/>
  <c r="H13" i="8"/>
  <c r="I13" i="8"/>
  <c r="J13" i="8"/>
  <c r="K13" i="8"/>
  <c r="L13" i="8"/>
  <c r="M13" i="8"/>
  <c r="N13" i="8"/>
  <c r="O13" i="8"/>
  <c r="H15" i="8"/>
  <c r="I15" i="8"/>
  <c r="J15" i="8"/>
  <c r="K15" i="8"/>
  <c r="L15" i="8"/>
  <c r="M15" i="8"/>
  <c r="N15" i="8"/>
  <c r="O15" i="8"/>
  <c r="H16" i="8"/>
  <c r="I16" i="8"/>
  <c r="J16" i="8"/>
  <c r="K16" i="8"/>
  <c r="L16" i="8"/>
  <c r="M16" i="8"/>
  <c r="N16" i="8"/>
  <c r="O16" i="8"/>
  <c r="H19" i="8"/>
  <c r="I19" i="8"/>
  <c r="J19" i="8"/>
  <c r="K19" i="8"/>
  <c r="L19" i="8"/>
  <c r="M19" i="8"/>
  <c r="N19" i="8"/>
  <c r="O19" i="8"/>
  <c r="H20" i="8"/>
  <c r="I20" i="8"/>
  <c r="J20" i="8"/>
  <c r="K20" i="8"/>
  <c r="L20" i="8"/>
  <c r="M20" i="8"/>
  <c r="N20" i="8"/>
  <c r="O20" i="8"/>
  <c r="H21" i="8"/>
  <c r="I21" i="8"/>
  <c r="J21" i="8"/>
  <c r="K21" i="8"/>
  <c r="L21" i="8"/>
  <c r="M21" i="8"/>
  <c r="N21" i="8"/>
  <c r="O21" i="8"/>
  <c r="H24" i="8"/>
  <c r="I24" i="8"/>
  <c r="J24" i="8"/>
  <c r="K24" i="8"/>
  <c r="L24" i="8"/>
  <c r="M24" i="8"/>
  <c r="N24" i="8"/>
  <c r="O24" i="8"/>
  <c r="H25" i="8"/>
  <c r="I25" i="8"/>
  <c r="J25" i="8"/>
  <c r="K25" i="8"/>
  <c r="L25" i="8"/>
  <c r="M25" i="8"/>
  <c r="N25" i="8"/>
  <c r="O25" i="8"/>
  <c r="H26" i="8"/>
  <c r="I26" i="8"/>
  <c r="J26" i="8"/>
  <c r="K26" i="8"/>
  <c r="L26" i="8"/>
  <c r="M26" i="8"/>
  <c r="N26" i="8"/>
  <c r="O26" i="8"/>
  <c r="H29" i="8"/>
  <c r="I29" i="8"/>
  <c r="J29" i="8"/>
  <c r="K29" i="8"/>
  <c r="L29" i="8"/>
  <c r="M29" i="8"/>
  <c r="N29" i="8"/>
  <c r="O29" i="8"/>
  <c r="H30" i="8"/>
  <c r="I30" i="8"/>
  <c r="J30" i="8"/>
  <c r="K30" i="8"/>
  <c r="L30" i="8"/>
  <c r="M30" i="8"/>
  <c r="N30" i="8"/>
  <c r="O30" i="8"/>
  <c r="H31" i="8"/>
  <c r="I31" i="8"/>
  <c r="J31" i="8"/>
  <c r="K31" i="8"/>
  <c r="L31" i="8"/>
  <c r="M31" i="8"/>
  <c r="N31" i="8"/>
  <c r="O31" i="8"/>
  <c r="H34" i="8"/>
  <c r="I34" i="8"/>
  <c r="J34" i="8"/>
  <c r="K34" i="8"/>
  <c r="L34" i="8"/>
  <c r="M34" i="8"/>
  <c r="N34" i="8"/>
  <c r="O34" i="8"/>
  <c r="H35" i="8"/>
  <c r="I35" i="8"/>
  <c r="J35" i="8"/>
  <c r="K35" i="8"/>
  <c r="L35" i="8"/>
  <c r="M35" i="8"/>
  <c r="N35" i="8"/>
  <c r="O35" i="8"/>
  <c r="H37" i="8"/>
  <c r="I37" i="8"/>
  <c r="J37" i="8"/>
  <c r="K37" i="8"/>
  <c r="L37" i="8"/>
  <c r="M37" i="8"/>
  <c r="N37" i="8"/>
  <c r="O37" i="8"/>
  <c r="H38" i="8"/>
  <c r="I38" i="8"/>
  <c r="J38" i="8"/>
  <c r="K38" i="8"/>
  <c r="L38" i="8"/>
  <c r="M38" i="8"/>
  <c r="N38" i="8"/>
  <c r="O38" i="8"/>
  <c r="H40" i="8"/>
  <c r="I40" i="8"/>
  <c r="J40" i="8"/>
  <c r="K40" i="8"/>
  <c r="L40" i="8"/>
  <c r="M40" i="8"/>
  <c r="N40" i="8"/>
  <c r="O40" i="8"/>
  <c r="H42" i="8"/>
  <c r="I42" i="8"/>
  <c r="J42" i="8"/>
  <c r="K42" i="8"/>
  <c r="L42" i="8"/>
  <c r="M42" i="8"/>
  <c r="N42" i="8"/>
  <c r="O42" i="8"/>
  <c r="H43" i="8"/>
  <c r="I43" i="8"/>
  <c r="J43" i="8"/>
  <c r="K43" i="8"/>
  <c r="L43" i="8"/>
  <c r="M43" i="8"/>
  <c r="N43" i="8"/>
  <c r="O43" i="8"/>
  <c r="H44" i="8"/>
  <c r="I44" i="8"/>
  <c r="J44" i="8"/>
  <c r="K44" i="8"/>
  <c r="L44" i="8"/>
  <c r="M44" i="8"/>
  <c r="N44" i="8"/>
  <c r="O44" i="8"/>
  <c r="I46" i="8"/>
  <c r="J46" i="8"/>
  <c r="K46" i="8"/>
  <c r="L46" i="8"/>
  <c r="M46" i="8"/>
  <c r="N46" i="8"/>
  <c r="O46" i="8"/>
  <c r="F5" i="9"/>
  <c r="I17" i="9"/>
  <c r="J17" i="9"/>
  <c r="K17" i="9"/>
  <c r="L17" i="9"/>
  <c r="M17" i="9"/>
  <c r="N17" i="9"/>
  <c r="O17" i="9"/>
  <c r="I20" i="9"/>
  <c r="J20" i="9"/>
  <c r="K20" i="9"/>
  <c r="L20" i="9"/>
  <c r="M20" i="9"/>
  <c r="N20" i="9"/>
  <c r="O20" i="9"/>
  <c r="I21" i="9"/>
  <c r="J21" i="9"/>
  <c r="K21" i="9"/>
  <c r="L21" i="9"/>
  <c r="M21" i="9"/>
  <c r="N21" i="9"/>
  <c r="O21" i="9"/>
  <c r="I22" i="9"/>
  <c r="J22" i="9"/>
  <c r="K22" i="9"/>
  <c r="L22" i="9"/>
  <c r="M22" i="9"/>
  <c r="N22" i="9"/>
  <c r="O22" i="9"/>
  <c r="I25" i="9"/>
  <c r="J25" i="9"/>
  <c r="K25" i="9"/>
  <c r="L25" i="9"/>
  <c r="M25" i="9"/>
  <c r="N25" i="9"/>
  <c r="O25" i="9"/>
  <c r="I26" i="9"/>
  <c r="J26" i="9"/>
  <c r="K26" i="9"/>
  <c r="L26" i="9"/>
  <c r="M26" i="9"/>
  <c r="N26" i="9"/>
  <c r="O26" i="9"/>
  <c r="I27" i="9"/>
  <c r="J27" i="9"/>
  <c r="K27" i="9"/>
  <c r="L27" i="9"/>
  <c r="M27" i="9"/>
  <c r="N27" i="9"/>
  <c r="O27" i="9"/>
  <c r="I23" i="4"/>
  <c r="H24" i="4"/>
  <c r="I24" i="4"/>
  <c r="N24" i="4"/>
  <c r="O24" i="4"/>
  <c r="H25" i="4"/>
  <c r="N25" i="4"/>
  <c r="O25" i="4"/>
  <c r="H26" i="4"/>
  <c r="N26" i="4"/>
  <c r="O26" i="4"/>
  <c r="H28" i="4"/>
  <c r="H29" i="4"/>
  <c r="I29" i="4"/>
  <c r="N29" i="4"/>
  <c r="O29" i="4"/>
  <c r="H35" i="4"/>
  <c r="H37" i="4"/>
  <c r="M42" i="4"/>
  <c r="N42" i="4"/>
  <c r="O42" i="4"/>
  <c r="M43" i="4"/>
  <c r="N43" i="4"/>
  <c r="O43" i="4"/>
  <c r="M44" i="4"/>
  <c r="N44" i="4"/>
  <c r="O44" i="4"/>
  <c r="M45" i="4"/>
  <c r="N45" i="4"/>
  <c r="O45" i="4"/>
  <c r="M46" i="4"/>
  <c r="N46" i="4"/>
  <c r="O46" i="4"/>
  <c r="N49" i="4"/>
  <c r="O49" i="4"/>
  <c r="M53" i="4"/>
  <c r="N53" i="4"/>
  <c r="O53" i="4"/>
  <c r="M54" i="4"/>
  <c r="N54" i="4"/>
  <c r="O54" i="4"/>
  <c r="M55" i="4"/>
  <c r="N55" i="4"/>
  <c r="O55" i="4"/>
  <c r="K91" i="4"/>
  <c r="M91" i="4"/>
  <c r="M92" i="4"/>
  <c r="K100" i="4"/>
  <c r="M100" i="4"/>
  <c r="K101" i="4"/>
  <c r="M101" i="4"/>
  <c r="K102" i="4"/>
  <c r="M102" i="4"/>
  <c r="M105" i="4"/>
  <c r="K107" i="4"/>
  <c r="M107" i="4"/>
  <c r="M109" i="4"/>
  <c r="M110" i="4"/>
  <c r="S117" i="4"/>
  <c r="T117" i="4"/>
  <c r="U117" i="4"/>
  <c r="V117" i="4"/>
  <c r="Q118" i="4"/>
  <c r="Q119" i="4"/>
  <c r="Q120" i="4"/>
  <c r="Q121" i="4"/>
  <c r="Q122" i="4"/>
  <c r="Q123" i="4"/>
  <c r="Q124" i="4"/>
  <c r="Q125" i="4"/>
  <c r="Q126" i="4"/>
  <c r="Q127" i="4"/>
  <c r="Q128" i="4"/>
  <c r="S136" i="4"/>
  <c r="T136" i="4"/>
  <c r="U136" i="4"/>
  <c r="V136" i="4"/>
  <c r="Q137" i="4"/>
  <c r="Q138" i="4"/>
  <c r="Q139" i="4"/>
  <c r="Q140" i="4"/>
  <c r="Q141" i="4"/>
  <c r="Q142" i="4"/>
  <c r="Q143" i="4"/>
  <c r="Q144" i="4"/>
  <c r="Q145" i="4"/>
  <c r="Q146" i="4"/>
  <c r="Q1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Training The Street, Inc.</author>
    <author>Salgado</author>
    <author>Microsoft Office User</author>
  </authors>
  <commentList>
    <comment ref="H24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Training The Street, Inc.: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Plug</t>
        </r>
      </text>
    </comment>
    <comment ref="K28" authorId="0" shapeId="0" xr:uid="{00000000-0006-0000-0100-000002000000}">
      <text>
        <r>
          <rPr>
            <b/>
            <sz val="8"/>
            <color rgb="FF000000"/>
            <rFont val="Tahoma"/>
            <family val="2"/>
          </rPr>
          <t>Training The Street, Inc.: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Plug</t>
        </r>
      </text>
    </comment>
    <comment ref="D54" authorId="1" shapeId="0" xr:uid="{00000000-0006-0000-0100-000003000000}">
      <text>
        <r>
          <rPr>
            <sz val="10"/>
            <color rgb="FF000000"/>
            <rFont val="Arial"/>
            <family val="2"/>
          </rPr>
          <t xml:space="preserve">Non-vested RSUs
</t>
        </r>
      </text>
    </comment>
    <comment ref="D55" authorId="2" shapeId="0" xr:uid="{4A95366C-BC89-134D-867D-E907D1292EC4}">
      <text>
        <r>
          <rPr>
            <sz val="10"/>
            <color rgb="FF000000"/>
            <rFont val="Arial"/>
            <family val="2"/>
          </rPr>
          <t xml:space="preserve">Non-vested PRSUs
</t>
        </r>
      </text>
    </comment>
    <comment ref="H62" authorId="0" shapeId="0" xr:uid="{00000000-0006-0000-0100-000004000000}">
      <text>
        <r>
          <rPr>
            <b/>
            <sz val="8"/>
            <color rgb="FF000000"/>
            <rFont val="Tahoma"/>
            <family val="2"/>
          </rPr>
          <t>Training The Street, Inc.: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If statement used to make sure when the Recap is OFF that 0 is in this cell...</t>
        </r>
      </text>
    </comment>
    <comment ref="C82" authorId="2" shapeId="0" xr:uid="{42A1C54C-A3B1-FF41-8CCA-03E89571FBF7}">
      <text>
        <r>
          <rPr>
            <sz val="10"/>
            <color rgb="FF000000"/>
            <rFont val="Tahoma"/>
            <family val="2"/>
          </rPr>
          <t xml:space="preserve">Prepaid expenses and other current assets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90" authorId="2" shapeId="0" xr:uid="{3D08DE72-BB11-A647-9162-FBDD019FFBBA}">
      <text>
        <r>
          <rPr>
            <sz val="10"/>
            <color rgb="FF000000"/>
            <rFont val="Tahoma"/>
            <family val="2"/>
          </rPr>
          <t>Deferred income taxes + Operating lease assets + Other assets</t>
        </r>
      </text>
    </comment>
    <comment ref="C95" authorId="2" shapeId="0" xr:uid="{8C99EB67-8566-4641-BF87-BC494C7EF930}">
      <text>
        <r>
          <rPr>
            <sz val="10"/>
            <color rgb="FF000000"/>
            <rFont val="Tahoma"/>
            <family val="2"/>
          </rPr>
          <t>Accrued compensation and benefits + Accrued income taxes</t>
        </r>
      </text>
    </comment>
    <comment ref="C96" authorId="2" shapeId="0" xr:uid="{1D6127C6-5C10-4F43-B466-A420CD27A099}">
      <text>
        <r>
          <rPr>
            <sz val="10"/>
            <color rgb="FF000000"/>
            <rFont val="Tahoma"/>
            <family val="2"/>
          </rPr>
          <t>Taxes, other than income taxes + Current operating lease liabilites + Other current liabilities</t>
        </r>
      </text>
    </comment>
    <comment ref="C104" authorId="2" shapeId="0" xr:uid="{3DF2A11C-C65C-994E-A731-D6FA063E1C00}">
      <text>
        <r>
          <rPr>
            <sz val="10"/>
            <color rgb="FF000000"/>
            <rFont val="Tahoma"/>
            <family val="2"/>
          </rPr>
          <t xml:space="preserve">Long-term operating lease liabilities + Other liabilities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Training The Street</author>
    <author>Training The Street, Inc.</author>
  </authors>
  <commentList>
    <comment ref="I17" authorId="0" shapeId="0" xr:uid="{00000000-0006-0000-0300-000001000000}">
      <text>
        <r>
          <rPr>
            <b/>
            <sz val="8"/>
            <color rgb="FF000000"/>
            <rFont val="Tahoma"/>
            <family val="2"/>
          </rPr>
          <t>Training The Street: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SFAS 142 Adjustment, amount kept constant.</t>
        </r>
      </text>
    </comment>
    <comment ref="I28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training simplification</t>
        </r>
      </text>
    </comment>
    <comment ref="I36" authorId="1" shapeId="0" xr:uid="{00000000-0006-0000-0300-000003000000}">
      <text>
        <r>
          <rPr>
            <b/>
            <sz val="8"/>
            <color rgb="FF000000"/>
            <rFont val="Tahoma"/>
            <family val="2"/>
          </rPr>
          <t>Training The Street, Inc.: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Reconcile with Net Income...</t>
        </r>
      </text>
    </comment>
    <comment ref="H94" authorId="0" shapeId="0" xr:uid="{00000000-0006-0000-0300-000004000000}">
      <text>
        <r>
          <rPr>
            <b/>
            <sz val="8"/>
            <color rgb="FF000000"/>
            <rFont val="Tahoma"/>
            <family val="2"/>
          </rPr>
          <t>Training The Street: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Leave this as 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Training The Street</author>
  </authors>
  <commentList>
    <comment ref="H40" authorId="0" shapeId="0" xr:uid="{00000000-0006-0000-0400-000001000000}">
      <text>
        <r>
          <rPr>
            <b/>
            <sz val="8"/>
            <color rgb="FF000000"/>
            <rFont val="Tahoma"/>
            <family val="2"/>
          </rPr>
          <t>Training The Street: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Custom # format:
</t>
        </r>
        <r>
          <rPr>
            <sz val="8"/>
            <color rgb="FF000000"/>
            <rFont val="Tahoma"/>
            <family val="2"/>
          </rPr>
          <t>0.0%_);"NM "</t>
        </r>
      </text>
    </comment>
    <comment ref="CS40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Training The Street:</t>
        </r>
        <r>
          <rPr>
            <sz val="8"/>
            <color indexed="81"/>
            <rFont val="Tahoma"/>
            <family val="2"/>
          </rPr>
          <t xml:space="preserve">
Custom # format:
0.0%_);"NM 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Training The Street, Inc.</author>
    <author>Scott Rostan</author>
  </authors>
  <commentList>
    <comment ref="I9" authorId="0" shapeId="0" xr:uid="{00000000-0006-0000-0500-000001000000}">
      <text>
        <r>
          <rPr>
            <b/>
            <sz val="8"/>
            <color rgb="FF000000"/>
            <rFont val="Tahoma"/>
            <family val="2"/>
          </rPr>
          <t>Training The Street, Inc.: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Period Counter</t>
        </r>
      </text>
    </comment>
    <comment ref="I38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Training The Street, Inc.:</t>
        </r>
        <r>
          <rPr>
            <sz val="8"/>
            <color indexed="81"/>
            <rFont val="Tahoma"/>
            <family val="2"/>
          </rPr>
          <t xml:space="preserve">
Period Counter</t>
        </r>
      </text>
    </comment>
    <comment ref="O39" authorId="1" shapeId="0" xr:uid="{00000000-0006-0000-0500-000003000000}">
      <text>
        <r>
          <rPr>
            <b/>
            <sz val="8"/>
            <color indexed="81"/>
            <rFont val="Tahoma"/>
            <family val="2"/>
          </rPr>
          <t>Training The Street:</t>
        </r>
        <r>
          <rPr>
            <sz val="8"/>
            <color indexed="81"/>
            <rFont val="Tahoma"/>
            <family val="2"/>
          </rPr>
          <t xml:space="preserve">
Grown out at previous year's growth rate.</t>
        </r>
      </text>
    </comment>
  </commentList>
</comments>
</file>

<file path=xl/sharedStrings.xml><?xml version="1.0" encoding="utf-8"?>
<sst xmlns="http://schemas.openxmlformats.org/spreadsheetml/2006/main" count="384" uniqueCount="231">
  <si>
    <t>X</t>
  </si>
  <si>
    <t>Company Name</t>
  </si>
  <si>
    <t>Brady Coporation</t>
  </si>
  <si>
    <r>
      <t>ç</t>
    </r>
    <r>
      <rPr>
        <sz val="10"/>
        <color indexed="23"/>
        <rFont val="Arial"/>
        <family val="2"/>
      </rPr>
      <t xml:space="preserve"> cell F3 is named </t>
    </r>
    <r>
      <rPr>
        <b/>
        <sz val="10"/>
        <color indexed="23"/>
        <rFont val="Arial"/>
        <family val="2"/>
      </rPr>
      <t>"Name"</t>
    </r>
  </si>
  <si>
    <t>Sub-header</t>
  </si>
  <si>
    <t>Dollars in Millions, except per share</t>
  </si>
  <si>
    <r>
      <t>ç</t>
    </r>
    <r>
      <rPr>
        <sz val="10"/>
        <color indexed="23"/>
        <rFont val="Arial"/>
        <family val="2"/>
      </rPr>
      <t xml:space="preserve"> cell F5 is named </t>
    </r>
    <r>
      <rPr>
        <b/>
        <sz val="10"/>
        <color indexed="23"/>
        <rFont val="Arial"/>
        <family val="2"/>
      </rPr>
      <t>"Subheader"</t>
    </r>
  </si>
  <si>
    <t>Last Fiscal Year End</t>
  </si>
  <si>
    <r>
      <t>ç</t>
    </r>
    <r>
      <rPr>
        <sz val="10"/>
        <color indexed="23"/>
        <rFont val="Arial"/>
        <family val="2"/>
      </rPr>
      <t xml:space="preserve"> cell is named </t>
    </r>
    <r>
      <rPr>
        <b/>
        <sz val="10"/>
        <color indexed="23"/>
        <rFont val="Arial"/>
        <family val="2"/>
      </rPr>
      <t>"FYE"</t>
    </r>
  </si>
  <si>
    <t>Days Assumption</t>
  </si>
  <si>
    <r>
      <t>ç</t>
    </r>
    <r>
      <rPr>
        <sz val="10"/>
        <color indexed="23"/>
        <rFont val="Arial"/>
        <family val="2"/>
      </rPr>
      <t xml:space="preserve"> cell is named </t>
    </r>
    <r>
      <rPr>
        <b/>
        <sz val="10"/>
        <color indexed="23"/>
        <rFont val="Arial"/>
        <family val="2"/>
      </rPr>
      <t>"days"</t>
    </r>
  </si>
  <si>
    <t>Recapitalization Accounting?</t>
  </si>
  <si>
    <t>N</t>
  </si>
  <si>
    <t>"Y" for recap accounting</t>
  </si>
  <si>
    <t>"N" for purchase accounting</t>
  </si>
  <si>
    <t>Notes:</t>
  </si>
  <si>
    <t>Rollover Equity Ownership Percentage:</t>
  </si>
  <si>
    <t>No RECAP Logic</t>
  </si>
  <si>
    <t>Minimum Cash Balance:</t>
  </si>
  <si>
    <t>Transaction Fee</t>
  </si>
  <si>
    <t>Circ</t>
  </si>
  <si>
    <t>$ in Millions</t>
  </si>
  <si>
    <t>1 = "On"</t>
  </si>
  <si>
    <t>0 = "Off"</t>
  </si>
  <si>
    <t>Current Share Price:</t>
  </si>
  <si>
    <t>Share Price as of:</t>
  </si>
  <si>
    <t>x</t>
  </si>
  <si>
    <t>Transaction Summary</t>
  </si>
  <si>
    <t>Transaction Date:</t>
  </si>
  <si>
    <t>Sources:</t>
  </si>
  <si>
    <t>Amount</t>
  </si>
  <si>
    <t>Percent</t>
  </si>
  <si>
    <t>Int. Rate</t>
  </si>
  <si>
    <t>Ownership</t>
  </si>
  <si>
    <t>Term</t>
  </si>
  <si>
    <t>Points</t>
  </si>
  <si>
    <t>Fees</t>
  </si>
  <si>
    <t>Amort.</t>
  </si>
  <si>
    <t>Cash</t>
  </si>
  <si>
    <t>Bank Revolver</t>
  </si>
  <si>
    <t>Bank Term Loan</t>
  </si>
  <si>
    <t>Subordinated Debentures</t>
  </si>
  <si>
    <t>Rollover Equity (non-cash)</t>
  </si>
  <si>
    <t>Sponsor Equity</t>
  </si>
  <si>
    <t>Total Sources</t>
  </si>
  <si>
    <t>Uses:</t>
  </si>
  <si>
    <t>Refinance Existing Debt</t>
  </si>
  <si>
    <t>Financing Fees</t>
  </si>
  <si>
    <t>Total Uses</t>
  </si>
  <si>
    <t>Purchase Price Calculation</t>
  </si>
  <si>
    <t>Summary Financial Ratios</t>
  </si>
  <si>
    <t>EBITDA</t>
  </si>
  <si>
    <t>EBITDA/Cash Interest</t>
  </si>
  <si>
    <t>Less: Option Proceeds</t>
  </si>
  <si>
    <t>EBITDA-CapEx/Cash Interest</t>
  </si>
  <si>
    <t>Limits</t>
  </si>
  <si>
    <r>
      <t xml:space="preserve">= Equity Purchase Price </t>
    </r>
    <r>
      <rPr>
        <sz val="10"/>
        <rFont val="Arial"/>
        <family val="2"/>
      </rPr>
      <t>(a)</t>
    </r>
  </si>
  <si>
    <t>Senior Debt/EBITDA</t>
  </si>
  <si>
    <t>Total Debt/EBITDA</t>
  </si>
  <si>
    <t>Share Information</t>
  </si>
  <si>
    <t>Equity as % of Total Capitalization</t>
  </si>
  <si>
    <t>Shares Outstanding (mm)</t>
  </si>
  <si>
    <t xml:space="preserve"> + Options Outstanding (In The Money)</t>
  </si>
  <si>
    <t xml:space="preserve">Year 6 </t>
  </si>
  <si>
    <t xml:space="preserve">Year 7 </t>
  </si>
  <si>
    <t>Up to</t>
  </si>
  <si>
    <t xml:space="preserve"> = Total Potential Shares</t>
  </si>
  <si>
    <t>Cumulative Bank Debt Paydown</t>
  </si>
  <si>
    <t>Outstanding Option Information</t>
  </si>
  <si>
    <t>Returns Summary to Equity Holders</t>
  </si>
  <si>
    <t>Potentials</t>
  </si>
  <si>
    <t>Strike</t>
  </si>
  <si>
    <t>In the $?</t>
  </si>
  <si>
    <t>Include?</t>
  </si>
  <si>
    <t>Proceeds</t>
  </si>
  <si>
    <t>EBITDA Exit Multiple:</t>
  </si>
  <si>
    <t>4 Year</t>
  </si>
  <si>
    <t>5 Year</t>
  </si>
  <si>
    <t>6 Year</t>
  </si>
  <si>
    <t>Minimum</t>
  </si>
  <si>
    <t>Multiple Analysis</t>
  </si>
  <si>
    <r>
      <t>Transaction Value</t>
    </r>
    <r>
      <rPr>
        <sz val="10"/>
        <rFont val="Arial"/>
        <family val="2"/>
      </rPr>
      <t xml:space="preserve"> (b)</t>
    </r>
  </si>
  <si>
    <t>TV/Sales</t>
  </si>
  <si>
    <t>Recap Information</t>
  </si>
  <si>
    <t>TV/EBITDA</t>
  </si>
  <si>
    <t>TV/EBIT</t>
  </si>
  <si>
    <t xml:space="preserve"> x Rollover Equity Ownership Percentage:</t>
  </si>
  <si>
    <t xml:space="preserve"> ÷ (1 - Rollover Equity Ownership Percentage)</t>
  </si>
  <si>
    <t>Goodwill Calculation</t>
  </si>
  <si>
    <t xml:space="preserve"> = Rollover Equity</t>
  </si>
  <si>
    <t>Purchase of Equity</t>
  </si>
  <si>
    <t xml:space="preserve"> ÷ Equity purchase price per share</t>
  </si>
  <si>
    <t>Less: Book Value Acquired</t>
  </si>
  <si>
    <t xml:space="preserve"> = Number of Shares Rolled</t>
  </si>
  <si>
    <t>Plus: Existing Goodwill</t>
  </si>
  <si>
    <t>Total Shares Purchased by Equity Sponsor</t>
  </si>
  <si>
    <t xml:space="preserve"> = Total Goodwill Created</t>
  </si>
  <si>
    <t>% of Shares Purchased by Equity Sponsor</t>
  </si>
  <si>
    <t>(a) Net of option proceeds from in-the-money options.</t>
  </si>
  <si>
    <t>(b) Assumes 100% acquisition.</t>
  </si>
  <si>
    <t>Opening Balance Sheet</t>
  </si>
  <si>
    <t>PRO FORMA</t>
  </si>
  <si>
    <t>ADJUSTMENTS</t>
  </si>
  <si>
    <t>Accounts Receivable, net</t>
  </si>
  <si>
    <t>Inventories</t>
  </si>
  <si>
    <t>Other Current Assets</t>
  </si>
  <si>
    <t>Total Current Assets:</t>
  </si>
  <si>
    <t>PP&amp;E, net</t>
  </si>
  <si>
    <t>Definite Life Intangibles</t>
  </si>
  <si>
    <t>Indefinite Life Intangibles</t>
  </si>
  <si>
    <t>Goodwill</t>
  </si>
  <si>
    <t>Long-Term Investment</t>
  </si>
  <si>
    <t>Other Non-Current Assets</t>
  </si>
  <si>
    <t>Deferred Financing Fees</t>
  </si>
  <si>
    <t>Total Assets:</t>
  </si>
  <si>
    <t>Accounts Payable</t>
  </si>
  <si>
    <t>Accrued Liabilities</t>
  </si>
  <si>
    <t>Other Current Liabilities</t>
  </si>
  <si>
    <t>Total Current Liabilities:</t>
  </si>
  <si>
    <t>Existing Long-Term Debt</t>
  </si>
  <si>
    <t>Revolving Credit Facility</t>
  </si>
  <si>
    <t>Subordinated Debt</t>
  </si>
  <si>
    <t>Deferred Income Taxes</t>
  </si>
  <si>
    <t>Other Long-Term Liabilities</t>
  </si>
  <si>
    <t>Total Liabilities:</t>
  </si>
  <si>
    <t>Total Equity:</t>
  </si>
  <si>
    <t>Total Liabilities and Equity:</t>
  </si>
  <si>
    <t>Check</t>
  </si>
  <si>
    <t>Data table</t>
  </si>
  <si>
    <t>Equity</t>
  </si>
  <si>
    <t>Equity as</t>
  </si>
  <si>
    <t>Year 4</t>
  </si>
  <si>
    <t>Year 5</t>
  </si>
  <si>
    <t>Year 6</t>
  </si>
  <si>
    <t>Senior Debt</t>
  </si>
  <si>
    <t>% of Cap</t>
  </si>
  <si>
    <t>IRRs</t>
  </si>
  <si>
    <t xml:space="preserve"> / EBITDA</t>
  </si>
  <si>
    <t>Step</t>
  </si>
  <si>
    <t>END</t>
  </si>
  <si>
    <t>Income Statement</t>
  </si>
  <si>
    <t>Pro Forma</t>
  </si>
  <si>
    <t>Projected Fiscal Year</t>
  </si>
  <si>
    <t>Revenues</t>
  </si>
  <si>
    <t>Cost of Sales (excluding Depreciation)</t>
  </si>
  <si>
    <t>Gross Profit</t>
  </si>
  <si>
    <t>Selling, general and administrative costs</t>
  </si>
  <si>
    <t>Research and development</t>
  </si>
  <si>
    <t>Depreciation and amortization</t>
  </si>
  <si>
    <t>EBIT</t>
  </si>
  <si>
    <t>Interest Expense</t>
  </si>
  <si>
    <t>Rate:</t>
  </si>
  <si>
    <t>Interest Income</t>
  </si>
  <si>
    <t xml:space="preserve">Bank Term Loan </t>
  </si>
  <si>
    <t>Case</t>
  </si>
  <si>
    <t>Amortization of Deferred Financing Fees</t>
  </si>
  <si>
    <t>1 = Upside Case</t>
  </si>
  <si>
    <t>Net Interest Expense</t>
  </si>
  <si>
    <t>2 = Base Case</t>
  </si>
  <si>
    <t>3 = Downside Case</t>
  </si>
  <si>
    <t>Pretax Income</t>
  </si>
  <si>
    <t>Taxes</t>
  </si>
  <si>
    <t>Net Income</t>
  </si>
  <si>
    <t>Revenue Growth Rate</t>
  </si>
  <si>
    <t>Upside</t>
  </si>
  <si>
    <t>Base</t>
  </si>
  <si>
    <t>Downside</t>
  </si>
  <si>
    <t>Gross Margin</t>
  </si>
  <si>
    <t>Selling Marketing &amp; Delivery as % of Sales</t>
  </si>
  <si>
    <t>Research and development as % of Sales</t>
  </si>
  <si>
    <t>Net Income Growth</t>
  </si>
  <si>
    <t>EBITDA Margin</t>
  </si>
  <si>
    <t>EBIT Margin</t>
  </si>
  <si>
    <t>Effective Tax Rate</t>
  </si>
  <si>
    <t>Balance Sheet</t>
  </si>
  <si>
    <t>Cash Flow Statement</t>
  </si>
  <si>
    <t>Amortization of Financing Fees</t>
  </si>
  <si>
    <t>Total Operating Cash Flows</t>
  </si>
  <si>
    <t>Additions to Intangibles</t>
  </si>
  <si>
    <t>Capital Expenditures</t>
  </si>
  <si>
    <t>Free Cash Flow</t>
  </si>
  <si>
    <t>Required Bank Term Loan Amortization</t>
  </si>
  <si>
    <t>Free Cash Flow Avail. for Revolver</t>
  </si>
  <si>
    <t>Revolver Debt Paydown</t>
  </si>
  <si>
    <t>Increase in Cash Balances</t>
  </si>
  <si>
    <t>Beginning Balance of Cash</t>
  </si>
  <si>
    <t>Ending Balance of Cash</t>
  </si>
  <si>
    <t>Note: Net Change in Working Capital</t>
  </si>
  <si>
    <t>Assumptions</t>
  </si>
  <si>
    <t>Capital Expenditures (Amount)</t>
  </si>
  <si>
    <t>CapEx as% of Sales</t>
  </si>
  <si>
    <t>Depreciation and amortization (Amount)</t>
  </si>
  <si>
    <t>Depreciation and amotization as % of CapEx</t>
  </si>
  <si>
    <t>Additions to Definite Life Intangibles (Amount)</t>
  </si>
  <si>
    <t>Financial Ratios</t>
  </si>
  <si>
    <t>Capitalization:</t>
  </si>
  <si>
    <t>Total Debt</t>
  </si>
  <si>
    <t>Less: Cash</t>
  </si>
  <si>
    <t>Net Debt</t>
  </si>
  <si>
    <t>Book Equity</t>
  </si>
  <si>
    <t>Total Capitalization</t>
  </si>
  <si>
    <t>Coverage Ratios:</t>
  </si>
  <si>
    <t>Total Interest Expense</t>
  </si>
  <si>
    <t>Cash Interest Expense (a)</t>
  </si>
  <si>
    <t>vs. Total Interest</t>
  </si>
  <si>
    <t>vs. Net Interest</t>
  </si>
  <si>
    <t>vs. Cash Interest (a)</t>
  </si>
  <si>
    <t>EBITDA - CAPX</t>
  </si>
  <si>
    <t>Leverage Ratios:</t>
  </si>
  <si>
    <t>Total Debt / Total Capitalization</t>
  </si>
  <si>
    <t>Net Debt / Total Capitalization</t>
  </si>
  <si>
    <t>Total Debt / Equity</t>
  </si>
  <si>
    <t>Net Debt / Equity</t>
  </si>
  <si>
    <t>Equity / Total Capitalization</t>
  </si>
  <si>
    <t>Senior Debt / EBITDA</t>
  </si>
  <si>
    <t>Total Debt / EBITDA</t>
  </si>
  <si>
    <t>Net Debt / EBITDA</t>
  </si>
  <si>
    <t>(a) Cash Interest Expense = Total Interest Expense less Amortization of Financing Fees</t>
  </si>
  <si>
    <t>Returns Analysis - EBITDA Exit Multiple Method</t>
  </si>
  <si>
    <t>Dollars in Millions</t>
  </si>
  <si>
    <t>Initial Equity Investment:</t>
  </si>
  <si>
    <t>Diluted Ownership:</t>
  </si>
  <si>
    <t>Implied Enterprise Value @ EBITDA Multiple of:</t>
  </si>
  <si>
    <t>Less:  Net Debt</t>
  </si>
  <si>
    <t>Implied Equity Value @ EBITDA Multiple of:</t>
  </si>
  <si>
    <t>Equity Return @ EBITDA Multiple of:</t>
  </si>
  <si>
    <t>Returns Analysis - IPO Exit</t>
  </si>
  <si>
    <t xml:space="preserve">Growth Rate </t>
  </si>
  <si>
    <t>One Year Forward Net Income</t>
  </si>
  <si>
    <t>Implied Equity Value @ Net Income Multiple of:</t>
  </si>
  <si>
    <t>Equity Return @ Net Income Multiple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</si>
</sst>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_);\(&quot;$&quot;#,##0.0\)"/>
    <numFmt numFmtId="165" formatCode="0.0%_);\(0.0%\)"/>
    <numFmt numFmtId="166" formatCode="#,##0.0_);\(#,##0.0\)"/>
    <numFmt numFmtId="167" formatCode="#,##0.000_);\(#,##0.000\)"/>
    <numFmt numFmtId="168" formatCode="#0.0\x"/>
    <numFmt numFmtId="169" formatCode="#0.00\x"/>
    <numFmt numFmtId="170" formatCode="0.0%"/>
    <numFmt numFmtId="171" formatCode="#0.0%_);\(#0.0%\)"/>
    <numFmt numFmtId="172" formatCode="#,##0.0%_);\(#,##0.0%\)"/>
    <numFmt numFmtId="173" formatCode="m/d/yy;@"/>
    <numFmt numFmtId="174" formatCode="#0.00%_);\(#0.00%\)"/>
    <numFmt numFmtId="175" formatCode="yyyy"/>
    <numFmt numFmtId="176" formatCode="mm/dd/yy"/>
    <numFmt numFmtId="177" formatCode="&quot;PF &quot;0"/>
    <numFmt numFmtId="178" formatCode="#0.0\x_)"/>
    <numFmt numFmtId="179" formatCode="0_);\(0\)"/>
    <numFmt numFmtId="180" formatCode="&quot;$&quot;#,##0.000_);[Red]\(&quot;$&quot;#,##0.000\)"/>
    <numFmt numFmtId="181" formatCode="&quot;$&quot;#,##0.0_);\(&quot;$&quot;#,##0.0\);&quot; - -  &quot;"/>
    <numFmt numFmtId="182" formatCode="#,##0.0_);\(#,##0.0\);&quot;- -  &quot;"/>
    <numFmt numFmtId="183" formatCode=";;"/>
    <numFmt numFmtId="184" formatCode="#0.0%_);&quot;NM &quot;"/>
    <numFmt numFmtId="185" formatCode="#,##0.0%_);&quot;NM &quot;"/>
    <numFmt numFmtId="186" formatCode="0.000_);\(0.000\)"/>
    <numFmt numFmtId="187" formatCode=";;;"/>
    <numFmt numFmtId="188" formatCode="&quot;$&quot;#,##0.00"/>
    <numFmt numFmtId="189" formatCode="_(* #,##0_);_(* \(#,##0\);_(* &quot;-&quot;??_);_(@_)"/>
    <numFmt numFmtId="190" formatCode="0.00\ \ "/>
  </numFmts>
  <fonts count="10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name val="Times New Roman"/>
      <family val="1"/>
    </font>
    <font>
      <b/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7"/>
      <color indexed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6"/>
      <name val="Times New Roman"/>
      <family val="1"/>
    </font>
    <font>
      <i/>
      <sz val="10"/>
      <name val="Times New Roman"/>
      <family val="1"/>
    </font>
    <font>
      <b/>
      <sz val="7"/>
      <color indexed="12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7"/>
      <name val="Arial"/>
      <family val="2"/>
    </font>
    <font>
      <b/>
      <sz val="14"/>
      <color indexed="12"/>
      <name val="Arial"/>
      <family val="2"/>
    </font>
    <font>
      <sz val="8"/>
      <color indexed="10"/>
      <name val="Times New Roman"/>
      <family val="1"/>
    </font>
    <font>
      <b/>
      <sz val="12"/>
      <color indexed="12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sz val="10"/>
      <color indexed="9"/>
      <name val="Arial"/>
      <family val="2"/>
    </font>
    <font>
      <b/>
      <i/>
      <u/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sz val="8"/>
      <name val="Times New Roman"/>
      <family val="1"/>
    </font>
    <font>
      <i/>
      <sz val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Arial"/>
      <family val="2"/>
    </font>
    <font>
      <sz val="7"/>
      <color indexed="10"/>
      <name val="Arial"/>
      <family val="2"/>
    </font>
    <font>
      <sz val="10"/>
      <color indexed="23"/>
      <name val="Wingdings"/>
      <charset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sz val="12"/>
      <name val="Wingdings 2"/>
      <family val="1"/>
      <charset val="2"/>
    </font>
    <font>
      <sz val="7"/>
      <color indexed="10"/>
      <name val="Arial"/>
      <family val="2"/>
    </font>
    <font>
      <sz val="10"/>
      <color indexed="12"/>
      <name val="Arial"/>
      <family val="2"/>
    </font>
    <font>
      <b/>
      <sz val="14"/>
      <color indexed="17"/>
      <name val="Arial"/>
      <family val="2"/>
    </font>
    <font>
      <b/>
      <sz val="7"/>
      <color indexed="10"/>
      <name val="Arial"/>
      <family val="2"/>
    </font>
    <font>
      <b/>
      <sz val="16"/>
      <color indexed="17"/>
      <name val="Arial"/>
      <family val="2"/>
    </font>
    <font>
      <sz val="9"/>
      <name val="Arial"/>
      <family val="2"/>
    </font>
    <font>
      <i/>
      <sz val="7"/>
      <color indexed="10"/>
      <name val="Arial"/>
      <family val="2"/>
    </font>
    <font>
      <i/>
      <sz val="12"/>
      <color indexed="10"/>
      <name val="Arial"/>
      <family val="2"/>
    </font>
    <font>
      <sz val="10"/>
      <name val="Arial"/>
      <family val="2"/>
    </font>
    <font>
      <sz val="8"/>
      <color indexed="23"/>
      <name val="Arial"/>
      <family val="2"/>
    </font>
    <font>
      <i/>
      <sz val="10"/>
      <color indexed="17"/>
      <name val="Arial"/>
      <family val="2"/>
    </font>
    <font>
      <sz val="10"/>
      <name val="Arial Narrow"/>
      <family val="2"/>
    </font>
    <font>
      <sz val="10"/>
      <name val="GillSans"/>
    </font>
    <font>
      <sz val="10"/>
      <name val="Baskerville MT"/>
    </font>
    <font>
      <sz val="10"/>
      <name val="Century Schoolbook"/>
      <family val="1"/>
    </font>
    <font>
      <sz val="10"/>
      <color indexed="8"/>
      <name val="Trebuchet MS"/>
      <family val="2"/>
    </font>
    <font>
      <sz val="10"/>
      <name val="Times New Roman"/>
      <family val="1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8"/>
      <color indexed="12"/>
      <name val="Tms Rmn"/>
    </font>
    <font>
      <sz val="8"/>
      <name val="Wingdings"/>
      <charset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Book Antiqua"/>
      <family val="1"/>
    </font>
    <font>
      <sz val="10"/>
      <name val="Palatino"/>
      <family val="1"/>
    </font>
    <font>
      <sz val="12"/>
      <name val="Times New Roman"/>
      <family val="1"/>
    </font>
    <font>
      <sz val="10"/>
      <name val="Geneva"/>
      <family val="2"/>
    </font>
    <font>
      <sz val="10"/>
      <color indexed="12"/>
      <name val="Arial Narrow"/>
      <family val="2"/>
    </font>
    <font>
      <b/>
      <sz val="10"/>
      <color indexed="18"/>
      <name val="Arial"/>
      <family val="2"/>
    </font>
    <font>
      <sz val="10"/>
      <name val="Book Antiqua"/>
      <family val="1"/>
    </font>
    <font>
      <b/>
      <sz val="8"/>
      <name val="Palatino"/>
      <family val="1"/>
    </font>
    <font>
      <b/>
      <sz val="10"/>
      <name val="Palatino"/>
      <family val="1"/>
    </font>
    <font>
      <sz val="8"/>
      <name val="Book Antiqua"/>
      <family val="1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8"/>
      <color indexed="72"/>
      <name val="Arial"/>
      <family val="2"/>
    </font>
    <font>
      <u/>
      <sz val="8"/>
      <name val="Book Antiqua"/>
      <family val="1"/>
    </font>
    <font>
      <u/>
      <sz val="10"/>
      <name val="GillSans"/>
      <family val="2"/>
    </font>
    <font>
      <b/>
      <sz val="10"/>
      <name val="Times New Roman"/>
      <family val="1"/>
    </font>
    <font>
      <b/>
      <sz val="12"/>
      <name val="GillSans"/>
      <family val="2"/>
    </font>
    <font>
      <b/>
      <u/>
      <sz val="14"/>
      <name val="Book Antiqua"/>
      <family val="1"/>
    </font>
    <font>
      <b/>
      <sz val="10"/>
      <name val="Book Antiqua"/>
      <family val="1"/>
    </font>
    <font>
      <u/>
      <sz val="11"/>
      <name val="GillSans"/>
      <family val="2"/>
    </font>
    <font>
      <sz val="9"/>
      <name val="Times New Roman"/>
      <family val="1"/>
    </font>
    <font>
      <b/>
      <sz val="12"/>
      <color indexed="17"/>
      <name val="MS Sans Serif"/>
      <family val="2"/>
    </font>
    <font>
      <b/>
      <u/>
      <sz val="10"/>
      <name val="Book Antiqua"/>
      <family val="1"/>
    </font>
    <font>
      <u/>
      <sz val="10"/>
      <color indexed="23"/>
      <name val="Arial"/>
      <family val="2"/>
    </font>
    <font>
      <b/>
      <u/>
      <sz val="10"/>
      <color indexed="23"/>
      <name val="Arial"/>
      <family val="2"/>
    </font>
    <font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lightGray">
        <fgColor indexed="13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B7D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457">
    <xf numFmtId="0" fontId="0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/>
    <xf numFmtId="0" fontId="56" fillId="0" borderId="0" applyFont="0" applyFill="0" applyBorder="0" applyAlignment="0" applyProtection="0"/>
    <xf numFmtId="0" fontId="57" fillId="0" borderId="0"/>
    <xf numFmtId="0" fontId="56" fillId="0" borderId="0" applyFont="0" applyFill="0" applyBorder="0" applyAlignment="0" applyProtection="0"/>
    <xf numFmtId="0" fontId="58" fillId="0" borderId="0">
      <alignment horizontal="right"/>
    </xf>
    <xf numFmtId="0" fontId="58" fillId="2" borderId="0"/>
    <xf numFmtId="0" fontId="59" fillId="2" borderId="0"/>
    <xf numFmtId="0" fontId="59" fillId="2" borderId="0"/>
    <xf numFmtId="0" fontId="59" fillId="2" borderId="0">
      <alignment horizontal="right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Font="0" applyFill="0" applyBorder="0" applyAlignment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0" fontId="64" fillId="0" borderId="0" applyNumberFormat="0" applyFill="0" applyBorder="0" applyAlignment="0" applyProtection="0"/>
    <xf numFmtId="0" fontId="6" fillId="0" borderId="0"/>
    <xf numFmtId="0" fontId="3" fillId="0" borderId="1" applyFill="0" applyProtection="0">
      <alignment horizontal="right"/>
    </xf>
    <xf numFmtId="0" fontId="65" fillId="0" borderId="0" applyFill="0" applyBorder="0" applyAlignment="0" applyProtection="0"/>
    <xf numFmtId="8" fontId="1" fillId="0" borderId="2" applyFont="0" applyFill="0" applyBorder="0" applyProtection="0">
      <alignment horizontal="right"/>
    </xf>
    <xf numFmtId="43" fontId="1" fillId="0" borderId="0" applyFont="0" applyFill="0" applyBorder="0" applyAlignment="0" applyProtection="0"/>
    <xf numFmtId="0" fontId="66" fillId="0" borderId="0" applyFont="0" applyFill="0" applyBorder="0" applyAlignment="0" applyProtection="0"/>
    <xf numFmtId="40" fontId="1" fillId="0" borderId="0" applyFont="0" applyFill="0" applyBorder="0" applyProtection="0">
      <alignment horizontal="right"/>
    </xf>
    <xf numFmtId="38" fontId="67" fillId="0" borderId="0" applyNumberFormat="0" applyFill="0" applyBorder="0">
      <alignment vertical="center"/>
    </xf>
    <xf numFmtId="44" fontId="1" fillId="0" borderId="0" applyFont="0" applyFill="0" applyBorder="0" applyAlignment="0" applyProtection="0"/>
    <xf numFmtId="7" fontId="5" fillId="0" borderId="0" applyFont="0" applyFill="0" applyBorder="0" applyAlignment="0" applyProtection="0"/>
    <xf numFmtId="0" fontId="61" fillId="0" borderId="0" applyFont="0" applyFill="0" applyBorder="0" applyAlignment="0" applyProtection="0"/>
    <xf numFmtId="8" fontId="68" fillId="0" borderId="0" applyBorder="0"/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8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8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8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8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1" fillId="0" borderId="0" applyNumberFormat="0">
      <alignment horizontal="right"/>
    </xf>
    <xf numFmtId="15" fontId="1" fillId="0" borderId="0" applyFont="0" applyFill="0" applyBorder="0" applyProtection="0">
      <alignment horizontal="right"/>
    </xf>
    <xf numFmtId="0" fontId="63" fillId="0" borderId="0" applyFont="0" applyFill="0" applyBorder="0" applyAlignment="0" applyProtection="0"/>
    <xf numFmtId="4" fontId="70" fillId="0" borderId="0" applyFont="0" applyFill="0" applyBorder="0" applyAlignment="0" applyProtection="0"/>
    <xf numFmtId="188" fontId="63" fillId="0" borderId="0" applyFont="0" applyFill="0" applyBorder="0" applyAlignment="0" applyProtection="0"/>
    <xf numFmtId="0" fontId="59" fillId="3" borderId="0"/>
    <xf numFmtId="0" fontId="59" fillId="3" borderId="0"/>
    <xf numFmtId="0" fontId="71" fillId="3" borderId="0"/>
    <xf numFmtId="0" fontId="71" fillId="0" borderId="0"/>
    <xf numFmtId="0" fontId="69" fillId="0" borderId="0"/>
    <xf numFmtId="0" fontId="69" fillId="0" borderId="0"/>
    <xf numFmtId="0" fontId="56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/>
    <xf numFmtId="0" fontId="74" fillId="0" borderId="0" applyNumberFormat="0" applyFont="0" applyAlignment="0">
      <alignment vertical="center"/>
    </xf>
    <xf numFmtId="0" fontId="59" fillId="0" borderId="4"/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5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6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187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69" fillId="2" borderId="3">
      <alignment horizontal="right"/>
    </xf>
    <xf numFmtId="0" fontId="75" fillId="0" borderId="0">
      <alignment horizontal="center"/>
    </xf>
    <xf numFmtId="0" fontId="4" fillId="0" borderId="0" applyFill="0" applyBorder="0" applyProtection="0">
      <alignment horizontal="right"/>
    </xf>
    <xf numFmtId="10" fontId="64" fillId="0" borderId="0" applyNumberFormat="0" applyFill="0" applyBorder="0" applyAlignment="0" applyProtection="0">
      <alignment horizontal="right"/>
    </xf>
    <xf numFmtId="0" fontId="61" fillId="0" borderId="0" applyAlignment="0">
      <protection locked="0"/>
    </xf>
    <xf numFmtId="0" fontId="76" fillId="0" borderId="0"/>
    <xf numFmtId="166" fontId="5" fillId="0" borderId="0" applyNumberFormat="0" applyFont="0" applyFill="0" applyBorder="0" applyAlignment="0"/>
    <xf numFmtId="0" fontId="58" fillId="0" borderId="0">
      <alignment horizontal="right"/>
    </xf>
    <xf numFmtId="0" fontId="71" fillId="3" borderId="0">
      <alignment horizontal="right"/>
    </xf>
    <xf numFmtId="17" fontId="61" fillId="0" borderId="0"/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189" fontId="58" fillId="0" borderId="0">
      <alignment horizontal="right"/>
    </xf>
    <xf numFmtId="0" fontId="58" fillId="0" borderId="0">
      <alignment horizontal="right"/>
    </xf>
    <xf numFmtId="0" fontId="58" fillId="0" borderId="0">
      <alignment horizontal="right"/>
    </xf>
    <xf numFmtId="189" fontId="58" fillId="0" borderId="0">
      <alignment horizontal="right"/>
    </xf>
    <xf numFmtId="0" fontId="58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58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189" fontId="58" fillId="0" borderId="0">
      <alignment horizontal="right"/>
    </xf>
    <xf numFmtId="0" fontId="58" fillId="0" borderId="0">
      <alignment horizontal="right"/>
    </xf>
    <xf numFmtId="0" fontId="58" fillId="0" borderId="0">
      <alignment horizontal="right"/>
    </xf>
    <xf numFmtId="189" fontId="58" fillId="0" borderId="0">
      <alignment horizontal="right"/>
    </xf>
    <xf numFmtId="0" fontId="58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58" fillId="0" borderId="0">
      <alignment horizontal="right"/>
    </xf>
    <xf numFmtId="179" fontId="58" fillId="0" borderId="0">
      <alignment horizontal="right"/>
    </xf>
    <xf numFmtId="0" fontId="58" fillId="0" borderId="0">
      <alignment horizontal="right"/>
    </xf>
    <xf numFmtId="0" fontId="58" fillId="0" borderId="0">
      <alignment horizontal="right"/>
    </xf>
    <xf numFmtId="189" fontId="58" fillId="0" borderId="0">
      <alignment horizontal="right"/>
    </xf>
    <xf numFmtId="0" fontId="58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90" fontId="1" fillId="0" borderId="0">
      <alignment horizontal="right"/>
    </xf>
    <xf numFmtId="0" fontId="1" fillId="0" borderId="0">
      <alignment horizontal="right"/>
    </xf>
    <xf numFmtId="0" fontId="58" fillId="0" borderId="0">
      <alignment horizontal="right"/>
    </xf>
    <xf numFmtId="179" fontId="58" fillId="0" borderId="0">
      <alignment horizontal="right"/>
    </xf>
    <xf numFmtId="0" fontId="58" fillId="0" borderId="0">
      <alignment horizontal="right"/>
    </xf>
    <xf numFmtId="0" fontId="58" fillId="0" borderId="0">
      <alignment horizontal="right"/>
    </xf>
    <xf numFmtId="189" fontId="58" fillId="0" borderId="0">
      <alignment horizontal="right"/>
    </xf>
    <xf numFmtId="0" fontId="58" fillId="0" borderId="0">
      <alignment horizontal="right"/>
    </xf>
    <xf numFmtId="0" fontId="31" fillId="0" borderId="0" applyNumberFormat="0" applyFill="0" applyBorder="0" applyProtection="0"/>
    <xf numFmtId="0" fontId="6" fillId="0" borderId="0" applyNumberFormat="0" applyFill="0" applyBorder="0" applyProtection="0"/>
    <xf numFmtId="38" fontId="77" fillId="0" borderId="0" applyNumberFormat="0" applyFill="0" applyBorder="0">
      <alignment horizontal="left" vertical="center"/>
    </xf>
    <xf numFmtId="0" fontId="78" fillId="0" borderId="0" applyFill="0" applyBorder="0">
      <alignment vertical="center"/>
    </xf>
    <xf numFmtId="0" fontId="59" fillId="3" borderId="3">
      <alignment horizontal="right"/>
    </xf>
    <xf numFmtId="0" fontId="56" fillId="0" borderId="0" applyFont="0" applyFill="0" applyBorder="0" applyAlignment="0" applyProtection="0"/>
    <xf numFmtId="0" fontId="79" fillId="0" borderId="0" applyFont="0" applyFill="0" applyBorder="0" applyProtection="0">
      <alignment horizontal="right"/>
    </xf>
    <xf numFmtId="0" fontId="7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80" fillId="0" borderId="0"/>
    <xf numFmtId="166" fontId="6" fillId="0" borderId="0"/>
    <xf numFmtId="0" fontId="1" fillId="0" borderId="0"/>
    <xf numFmtId="166" fontId="6" fillId="0" borderId="0"/>
    <xf numFmtId="0" fontId="81" fillId="0" borderId="0">
      <alignment horizontal="left" vertical="top"/>
      <protection locked="0"/>
    </xf>
    <xf numFmtId="0" fontId="82" fillId="0" borderId="0" applyFill="0">
      <alignment horizontal="center" vertical="center"/>
    </xf>
    <xf numFmtId="0" fontId="69" fillId="0" borderId="0" applyNumberFormat="0" applyFill="0" applyBorder="0" applyAlignment="0" applyProtection="0"/>
    <xf numFmtId="0" fontId="71" fillId="3" borderId="0"/>
    <xf numFmtId="0" fontId="69" fillId="0" borderId="0"/>
    <xf numFmtId="9" fontId="1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32" fillId="2" borderId="0" applyFill="0" applyBorder="0" applyAlignment="0" applyProtection="0">
      <protection hidden="1"/>
    </xf>
    <xf numFmtId="0" fontId="5" fillId="0" borderId="0" applyFont="0" applyFill="0" applyBorder="0" applyProtection="0">
      <alignment horizontal="right"/>
    </xf>
    <xf numFmtId="0" fontId="59" fillId="3" borderId="0">
      <alignment horizontal="right"/>
    </xf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69" fillId="2" borderId="0"/>
    <xf numFmtId="0" fontId="69" fillId="2" borderId="0"/>
    <xf numFmtId="0" fontId="69" fillId="2" borderId="0"/>
    <xf numFmtId="180" fontId="69" fillId="2" borderId="0"/>
    <xf numFmtId="0" fontId="69" fillId="2" borderId="0"/>
    <xf numFmtId="0" fontId="69" fillId="2" borderId="0"/>
    <xf numFmtId="0" fontId="69" fillId="2" borderId="0"/>
    <xf numFmtId="180" fontId="69" fillId="2" borderId="0"/>
    <xf numFmtId="0" fontId="6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59" fillId="2" borderId="0"/>
    <xf numFmtId="0" fontId="69" fillId="2" borderId="0"/>
    <xf numFmtId="0" fontId="69" fillId="2" borderId="0"/>
    <xf numFmtId="0" fontId="69" fillId="2" borderId="0"/>
    <xf numFmtId="0" fontId="69" fillId="2" borderId="0"/>
    <xf numFmtId="180" fontId="69" fillId="2" borderId="0"/>
    <xf numFmtId="0" fontId="69" fillId="2" borderId="0"/>
    <xf numFmtId="0" fontId="69" fillId="2" borderId="0"/>
    <xf numFmtId="0" fontId="69" fillId="2" borderId="0"/>
    <xf numFmtId="180" fontId="69" fillId="2" borderId="0"/>
    <xf numFmtId="0" fontId="69" fillId="2" borderId="0"/>
    <xf numFmtId="0" fontId="83" fillId="0" borderId="0">
      <alignment horizontal="center"/>
    </xf>
    <xf numFmtId="0" fontId="57" fillId="0" borderId="5">
      <alignment horizontal="centerContinuous"/>
    </xf>
    <xf numFmtId="0" fontId="69" fillId="2" borderId="0">
      <alignment horizontal="right"/>
    </xf>
    <xf numFmtId="0" fontId="58" fillId="0" borderId="0">
      <alignment horizontal="center"/>
    </xf>
    <xf numFmtId="0" fontId="69" fillId="2" borderId="3">
      <alignment horizontal="right"/>
    </xf>
    <xf numFmtId="164" fontId="7" fillId="0" borderId="0"/>
    <xf numFmtId="0" fontId="1" fillId="0" borderId="0" applyFont="0" applyFill="0" applyBorder="0" applyProtection="0">
      <alignment horizontal="right"/>
    </xf>
    <xf numFmtId="0" fontId="5" fillId="0" borderId="0" applyFont="0" applyFill="0" applyBorder="0" applyProtection="0">
      <alignment horizontal="right"/>
    </xf>
    <xf numFmtId="0" fontId="1" fillId="0" borderId="0" applyFont="0" applyFill="0" applyBorder="0" applyProtection="0">
      <alignment horizontal="right"/>
    </xf>
    <xf numFmtId="0" fontId="8" fillId="0" borderId="0" applyFill="0" applyBorder="0" applyProtection="0">
      <alignment horizontal="left"/>
    </xf>
    <xf numFmtId="12" fontId="5" fillId="0" borderId="0" applyFont="0" applyFill="0" applyBorder="0" applyProtection="0">
      <alignment horizontal="right"/>
    </xf>
    <xf numFmtId="0" fontId="5" fillId="3" borderId="0" applyFont="0" applyFill="0" applyBorder="0" applyProtection="0">
      <alignment horizontal="right"/>
    </xf>
    <xf numFmtId="6" fontId="77" fillId="0" borderId="6" applyFill="0">
      <alignment vertical="center"/>
    </xf>
    <xf numFmtId="0" fontId="84" fillId="0" borderId="0">
      <alignment horizontal="centerContinuous"/>
    </xf>
    <xf numFmtId="49" fontId="85" fillId="0" borderId="0"/>
    <xf numFmtId="0" fontId="9" fillId="0" borderId="0"/>
    <xf numFmtId="0" fontId="77" fillId="0" borderId="0" applyFill="0" applyBorder="0">
      <alignment vertical="center"/>
    </xf>
    <xf numFmtId="0" fontId="10" fillId="0" borderId="5" applyFill="0" applyAlignment="0" applyProtection="0">
      <alignment horizontal="left"/>
    </xf>
    <xf numFmtId="38" fontId="86" fillId="0" borderId="0" applyNumberFormat="0" applyFill="0" applyBorder="0">
      <alignment horizontal="left" vertical="center"/>
    </xf>
    <xf numFmtId="38" fontId="87" fillId="0" borderId="0" applyNumberFormat="0" applyFill="0" applyBorder="0">
      <alignment horizontal="centerContinuous" vertical="center"/>
    </xf>
    <xf numFmtId="0" fontId="88" fillId="0" borderId="0"/>
    <xf numFmtId="0" fontId="11" fillId="0" borderId="0" applyFill="0" applyBorder="0" applyAlignment="0" applyProtection="0"/>
    <xf numFmtId="0" fontId="12" fillId="0" borderId="0">
      <alignment horizontal="left"/>
      <protection locked="0"/>
    </xf>
    <xf numFmtId="0" fontId="46" fillId="0" borderId="0"/>
    <xf numFmtId="5" fontId="89" fillId="0" borderId="0">
      <alignment vertical="center"/>
    </xf>
    <xf numFmtId="0" fontId="90" fillId="4" borderId="0"/>
    <xf numFmtId="0" fontId="91" fillId="0" borderId="0" applyFill="0" applyBorder="0">
      <alignment vertical="center"/>
    </xf>
    <xf numFmtId="0" fontId="77" fillId="5" borderId="7" applyNumberFormat="0" applyFont="0" applyBorder="0" applyAlignment="0" applyProtection="0">
      <alignment horizontal="right"/>
    </xf>
  </cellStyleXfs>
  <cellXfs count="379">
    <xf numFmtId="0" fontId="0" fillId="0" borderId="0" xfId="0"/>
    <xf numFmtId="0" fontId="0" fillId="2" borderId="0" xfId="0" applyFill="1"/>
    <xf numFmtId="166" fontId="13" fillId="2" borderId="0" xfId="323" applyFont="1" applyFill="1"/>
    <xf numFmtId="0" fontId="13" fillId="2" borderId="0" xfId="0" applyFont="1" applyFill="1"/>
    <xf numFmtId="166" fontId="15" fillId="2" borderId="0" xfId="323" applyFont="1" applyFill="1"/>
    <xf numFmtId="164" fontId="14" fillId="6" borderId="8" xfId="0" applyNumberFormat="1" applyFont="1" applyFill="1" applyBorder="1" applyAlignment="1">
      <alignment horizontal="centerContinuous"/>
    </xf>
    <xf numFmtId="8" fontId="14" fillId="6" borderId="8" xfId="0" applyNumberFormat="1" applyFont="1" applyFill="1" applyBorder="1" applyAlignment="1">
      <alignment horizontal="centerContinuous"/>
    </xf>
    <xf numFmtId="173" fontId="14" fillId="6" borderId="8" xfId="0" applyNumberFormat="1" applyFont="1" applyFill="1" applyBorder="1" applyAlignment="1">
      <alignment horizontal="centerContinuous"/>
    </xf>
    <xf numFmtId="0" fontId="17" fillId="0" borderId="0" xfId="0" applyFont="1"/>
    <xf numFmtId="0" fontId="18" fillId="0" borderId="0" xfId="0" applyFont="1"/>
    <xf numFmtId="0" fontId="19" fillId="0" borderId="9" xfId="0" applyFont="1" applyBorder="1" applyProtection="1">
      <protection locked="0"/>
    </xf>
    <xf numFmtId="0" fontId="20" fillId="0" borderId="9" xfId="0" applyFont="1" applyBorder="1" applyAlignment="1">
      <alignment horizontal="right"/>
    </xf>
    <xf numFmtId="14" fontId="21" fillId="0" borderId="9" xfId="0" applyNumberFormat="1" applyFont="1" applyBorder="1" applyAlignment="1">
      <alignment horizontal="left"/>
    </xf>
    <xf numFmtId="0" fontId="22" fillId="0" borderId="0" xfId="0" quotePrefix="1" applyFont="1" applyAlignment="1">
      <alignment horizontal="left"/>
    </xf>
    <xf numFmtId="0" fontId="13" fillId="0" borderId="10" xfId="0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0" fillId="0" borderId="13" xfId="0" applyBorder="1"/>
    <xf numFmtId="164" fontId="23" fillId="0" borderId="0" xfId="0" applyNumberFormat="1" applyFont="1" applyAlignment="1">
      <alignment horizontal="left"/>
    </xf>
    <xf numFmtId="171" fontId="23" fillId="0" borderId="0" xfId="0" applyNumberFormat="1" applyFont="1" applyProtection="1">
      <protection locked="0"/>
    </xf>
    <xf numFmtId="0" fontId="24" fillId="0" borderId="0" xfId="0" applyFont="1" applyAlignment="1">
      <alignment horizontal="left"/>
    </xf>
    <xf numFmtId="165" fontId="24" fillId="0" borderId="0" xfId="0" applyNumberFormat="1" applyFont="1" applyProtection="1">
      <protection locked="0"/>
    </xf>
    <xf numFmtId="10" fontId="23" fillId="0" borderId="0" xfId="0" applyNumberFormat="1" applyFont="1" applyProtection="1">
      <protection locked="0"/>
    </xf>
    <xf numFmtId="0" fontId="26" fillId="0" borderId="0" xfId="0" applyFont="1" applyAlignment="1">
      <alignment horizontal="left"/>
    </xf>
    <xf numFmtId="171" fontId="25" fillId="0" borderId="5" xfId="323" applyNumberFormat="1" applyFont="1" applyBorder="1"/>
    <xf numFmtId="0" fontId="20" fillId="0" borderId="0" xfId="0" applyFont="1" applyAlignment="1">
      <alignment horizontal="left"/>
    </xf>
    <xf numFmtId="0" fontId="20" fillId="0" borderId="0" xfId="0" applyFont="1"/>
    <xf numFmtId="171" fontId="20" fillId="0" borderId="0" xfId="0" applyNumberFormat="1" applyFont="1"/>
    <xf numFmtId="0" fontId="13" fillId="0" borderId="13" xfId="0" applyFont="1" applyBorder="1" applyAlignment="1">
      <alignment horizontal="left"/>
    </xf>
    <xf numFmtId="7" fontId="23" fillId="0" borderId="0" xfId="0" applyNumberFormat="1" applyFont="1" applyProtection="1">
      <protection locked="0"/>
    </xf>
    <xf numFmtId="166" fontId="0" fillId="0" borderId="0" xfId="0" applyNumberFormat="1"/>
    <xf numFmtId="170" fontId="24" fillId="0" borderId="0" xfId="0" applyNumberFormat="1" applyFont="1" applyProtection="1">
      <protection locked="0"/>
    </xf>
    <xf numFmtId="166" fontId="24" fillId="0" borderId="0" xfId="0" applyNumberFormat="1" applyFont="1"/>
    <xf numFmtId="0" fontId="26" fillId="0" borderId="0" xfId="0" applyFont="1"/>
    <xf numFmtId="166" fontId="23" fillId="0" borderId="0" xfId="0" applyNumberFormat="1" applyFont="1"/>
    <xf numFmtId="0" fontId="20" fillId="0" borderId="0" xfId="0" quotePrefix="1" applyFont="1"/>
    <xf numFmtId="164" fontId="20" fillId="0" borderId="3" xfId="0" applyNumberFormat="1" applyFont="1" applyBorder="1"/>
    <xf numFmtId="0" fontId="0" fillId="0" borderId="14" xfId="0" applyBorder="1"/>
    <xf numFmtId="0" fontId="18" fillId="0" borderId="5" xfId="0" applyFont="1" applyBorder="1"/>
    <xf numFmtId="0" fontId="20" fillId="0" borderId="5" xfId="0" applyFont="1" applyBorder="1" applyAlignment="1">
      <alignment horizontal="left"/>
    </xf>
    <xf numFmtId="0" fontId="20" fillId="0" borderId="5" xfId="0" applyFont="1" applyBorder="1"/>
    <xf numFmtId="164" fontId="20" fillId="0" borderId="15" xfId="0" applyNumberFormat="1" applyFont="1" applyBorder="1"/>
    <xf numFmtId="0" fontId="28" fillId="0" borderId="0" xfId="0" applyFont="1"/>
    <xf numFmtId="44" fontId="23" fillId="0" borderId="0" xfId="33" applyFont="1" applyBorder="1" applyAlignment="1">
      <alignment horizontal="center"/>
    </xf>
    <xf numFmtId="0" fontId="27" fillId="7" borderId="17" xfId="0" applyFont="1" applyFill="1" applyBorder="1" applyAlignment="1">
      <alignment horizontal="centerContinuous"/>
    </xf>
    <xf numFmtId="0" fontId="27" fillId="7" borderId="15" xfId="0" applyFont="1" applyFill="1" applyBorder="1" applyAlignment="1">
      <alignment horizontal="centerContinuous"/>
    </xf>
    <xf numFmtId="0" fontId="27" fillId="7" borderId="18" xfId="0" applyFont="1" applyFill="1" applyBorder="1" applyAlignment="1">
      <alignment horizontal="centerContinuous"/>
    </xf>
    <xf numFmtId="0" fontId="0" fillId="0" borderId="5" xfId="0" applyBorder="1"/>
    <xf numFmtId="0" fontId="27" fillId="7" borderId="10" xfId="0" applyFont="1" applyFill="1" applyBorder="1" applyAlignment="1">
      <alignment horizontal="centerContinuous"/>
    </xf>
    <xf numFmtId="0" fontId="27" fillId="7" borderId="11" xfId="0" applyFont="1" applyFill="1" applyBorder="1" applyAlignment="1">
      <alignment horizontal="centerContinuous"/>
    </xf>
    <xf numFmtId="0" fontId="27" fillId="7" borderId="12" xfId="0" applyFont="1" applyFill="1" applyBorder="1" applyAlignment="1">
      <alignment horizontal="centerContinuous"/>
    </xf>
    <xf numFmtId="0" fontId="26" fillId="0" borderId="0" xfId="0" quotePrefix="1" applyFont="1"/>
    <xf numFmtId="0" fontId="0" fillId="0" borderId="10" xfId="0" applyBorder="1"/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175" fontId="13" fillId="0" borderId="0" xfId="0" applyNumberFormat="1" applyFont="1"/>
    <xf numFmtId="166" fontId="23" fillId="0" borderId="5" xfId="0" applyNumberFormat="1" applyFont="1" applyBorder="1"/>
    <xf numFmtId="167" fontId="20" fillId="0" borderId="15" xfId="0" applyNumberFormat="1" applyFont="1" applyBorder="1"/>
    <xf numFmtId="164" fontId="20" fillId="0" borderId="18" xfId="0" applyNumberFormat="1" applyFont="1" applyBorder="1"/>
    <xf numFmtId="0" fontId="31" fillId="0" borderId="0" xfId="0" applyFont="1"/>
    <xf numFmtId="0" fontId="20" fillId="0" borderId="17" xfId="0" quotePrefix="1" applyFont="1" applyBorder="1" applyAlignment="1">
      <alignment horizontal="left"/>
    </xf>
    <xf numFmtId="0" fontId="20" fillId="0" borderId="15" xfId="0" applyFont="1" applyBorder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20" fillId="0" borderId="0" xfId="324" applyFont="1" applyAlignment="1">
      <alignment horizontal="centerContinuous"/>
    </xf>
    <xf numFmtId="0" fontId="20" fillId="0" borderId="0" xfId="324" applyFont="1" applyAlignment="1">
      <alignment horizontal="center"/>
    </xf>
    <xf numFmtId="176" fontId="21" fillId="0" borderId="5" xfId="324" applyNumberFormat="1" applyFont="1" applyBorder="1" applyAlignment="1">
      <alignment horizontal="center"/>
    </xf>
    <xf numFmtId="176" fontId="35" fillId="0" borderId="5" xfId="324" applyNumberFormat="1" applyFont="1" applyBorder="1" applyAlignment="1">
      <alignment horizontal="center"/>
    </xf>
    <xf numFmtId="0" fontId="23" fillId="0" borderId="0" xfId="0" applyFont="1"/>
    <xf numFmtId="164" fontId="23" fillId="0" borderId="0" xfId="0" applyNumberFormat="1" applyFont="1"/>
    <xf numFmtId="166" fontId="0" fillId="0" borderId="11" xfId="0" applyNumberFormat="1" applyBorder="1"/>
    <xf numFmtId="166" fontId="25" fillId="0" borderId="0" xfId="0" applyNumberFormat="1" applyFont="1"/>
    <xf numFmtId="164" fontId="0" fillId="0" borderId="11" xfId="0" applyNumberFormat="1" applyBorder="1"/>
    <xf numFmtId="164" fontId="0" fillId="0" borderId="0" xfId="0" applyNumberFormat="1"/>
    <xf numFmtId="167" fontId="32" fillId="0" borderId="0" xfId="0" applyNumberFormat="1" applyFont="1" applyAlignment="1">
      <alignment horizontal="right"/>
    </xf>
    <xf numFmtId="0" fontId="40" fillId="0" borderId="0" xfId="0" applyFont="1"/>
    <xf numFmtId="0" fontId="39" fillId="0" borderId="0" xfId="0" applyFont="1"/>
    <xf numFmtId="0" fontId="39" fillId="0" borderId="15" xfId="0" applyFont="1" applyBorder="1"/>
    <xf numFmtId="0" fontId="39" fillId="0" borderId="18" xfId="0" applyFont="1" applyBorder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19" fillId="0" borderId="17" xfId="0" applyFont="1" applyBorder="1"/>
    <xf numFmtId="0" fontId="19" fillId="0" borderId="0" xfId="0" applyFont="1"/>
    <xf numFmtId="0" fontId="8" fillId="0" borderId="0" xfId="0" applyFont="1"/>
    <xf numFmtId="14" fontId="19" fillId="0" borderId="8" xfId="0" applyNumberFormat="1" applyFont="1" applyBorder="1" applyAlignment="1">
      <alignment horizontal="centerContinuous"/>
    </xf>
    <xf numFmtId="37" fontId="19" fillId="0" borderId="8" xfId="0" applyNumberFormat="1" applyFont="1" applyBorder="1" applyAlignment="1">
      <alignment horizontal="centerContinuous"/>
    </xf>
    <xf numFmtId="0" fontId="14" fillId="0" borderId="0" xfId="0" applyFont="1" applyAlignment="1">
      <alignment horizontal="centerContinuous"/>
    </xf>
    <xf numFmtId="0" fontId="25" fillId="0" borderId="0" xfId="0" applyFont="1"/>
    <xf numFmtId="164" fontId="24" fillId="0" borderId="0" xfId="0" applyNumberFormat="1" applyFont="1"/>
    <xf numFmtId="0" fontId="26" fillId="0" borderId="0" xfId="0" applyFont="1" applyAlignment="1">
      <alignment horizontal="right"/>
    </xf>
    <xf numFmtId="164" fontId="20" fillId="0" borderId="0" xfId="0" applyNumberFormat="1" applyFont="1"/>
    <xf numFmtId="164" fontId="20" fillId="0" borderId="11" xfId="0" applyNumberFormat="1" applyFont="1" applyBorder="1"/>
    <xf numFmtId="165" fontId="23" fillId="0" borderId="0" xfId="0" applyNumberFormat="1" applyFont="1"/>
    <xf numFmtId="0" fontId="45" fillId="0" borderId="0" xfId="0" applyFont="1"/>
    <xf numFmtId="0" fontId="47" fillId="0" borderId="0" xfId="0" applyFont="1"/>
    <xf numFmtId="175" fontId="25" fillId="0" borderId="0" xfId="0" applyNumberFormat="1" applyFont="1" applyAlignment="1">
      <alignment horizontal="left"/>
    </xf>
    <xf numFmtId="164" fontId="48" fillId="0" borderId="0" xfId="0" applyNumberFormat="1" applyFont="1"/>
    <xf numFmtId="0" fontId="49" fillId="0" borderId="0" xfId="0" applyFont="1"/>
    <xf numFmtId="179" fontId="24" fillId="0" borderId="0" xfId="0" applyNumberFormat="1" applyFont="1" applyAlignment="1">
      <alignment horizontal="center"/>
    </xf>
    <xf numFmtId="0" fontId="24" fillId="0" borderId="0" xfId="0" applyFont="1"/>
    <xf numFmtId="0" fontId="0" fillId="0" borderId="3" xfId="0" applyBorder="1"/>
    <xf numFmtId="171" fontId="23" fillId="0" borderId="0" xfId="0" applyNumberFormat="1" applyFont="1"/>
    <xf numFmtId="166" fontId="5" fillId="0" borderId="0" xfId="325" applyFont="1"/>
    <xf numFmtId="166" fontId="19" fillId="0" borderId="9" xfId="325" applyFont="1" applyBorder="1" applyProtection="1">
      <protection locked="0"/>
    </xf>
    <xf numFmtId="166" fontId="20" fillId="0" borderId="9" xfId="325" applyFont="1" applyBorder="1" applyAlignment="1">
      <alignment horizontal="right"/>
    </xf>
    <xf numFmtId="14" fontId="20" fillId="0" borderId="9" xfId="325" applyNumberFormat="1" applyFont="1" applyBorder="1" applyAlignment="1">
      <alignment horizontal="left"/>
    </xf>
    <xf numFmtId="175" fontId="25" fillId="0" borderId="0" xfId="325" applyNumberFormat="1" applyFont="1" applyAlignment="1">
      <alignment horizontal="left"/>
    </xf>
    <xf numFmtId="166" fontId="45" fillId="0" borderId="0" xfId="325" applyFont="1"/>
    <xf numFmtId="166" fontId="26" fillId="0" borderId="0" xfId="325" applyFont="1"/>
    <xf numFmtId="166" fontId="23" fillId="0" borderId="0" xfId="325" applyFont="1"/>
    <xf numFmtId="166" fontId="50" fillId="0" borderId="11" xfId="325" quotePrefix="1" applyFont="1" applyBorder="1"/>
    <xf numFmtId="166" fontId="50" fillId="0" borderId="11" xfId="325" applyFont="1" applyBorder="1"/>
    <xf numFmtId="166" fontId="20" fillId="0" borderId="0" xfId="325" applyFont="1"/>
    <xf numFmtId="165" fontId="21" fillId="0" borderId="0" xfId="325" applyNumberFormat="1" applyFont="1"/>
    <xf numFmtId="166" fontId="35" fillId="0" borderId="0" xfId="325" applyFont="1" applyAlignment="1">
      <alignment horizontal="centerContinuous"/>
    </xf>
    <xf numFmtId="168" fontId="23" fillId="0" borderId="0" xfId="325" applyNumberFormat="1" applyFont="1" applyAlignment="1">
      <alignment horizontal="centerContinuous"/>
    </xf>
    <xf numFmtId="168" fontId="23" fillId="0" borderId="0" xfId="325" applyNumberFormat="1" applyFont="1"/>
    <xf numFmtId="0" fontId="13" fillId="0" borderId="11" xfId="0" quotePrefix="1" applyFont="1" applyBorder="1" applyAlignment="1">
      <alignment horizontal="right"/>
    </xf>
    <xf numFmtId="0" fontId="13" fillId="0" borderId="12" xfId="0" quotePrefix="1" applyFont="1" applyBorder="1" applyAlignment="1">
      <alignment horizontal="right"/>
    </xf>
    <xf numFmtId="170" fontId="26" fillId="0" borderId="0" xfId="0" applyNumberFormat="1" applyFont="1" applyAlignment="1">
      <alignment horizontal="right"/>
    </xf>
    <xf numFmtId="170" fontId="26" fillId="0" borderId="3" xfId="0" applyNumberFormat="1" applyFont="1" applyBorder="1" applyAlignment="1">
      <alignment horizontal="right"/>
    </xf>
    <xf numFmtId="0" fontId="20" fillId="0" borderId="14" xfId="0" quotePrefix="1" applyFont="1" applyBorder="1"/>
    <xf numFmtId="0" fontId="32" fillId="0" borderId="11" xfId="0" applyFont="1" applyBorder="1"/>
    <xf numFmtId="177" fontId="13" fillId="0" borderId="11" xfId="0" applyNumberFormat="1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0" xfId="324" applyFont="1" applyAlignment="1">
      <alignment horizontal="centerContinuous"/>
    </xf>
    <xf numFmtId="0" fontId="20" fillId="0" borderId="10" xfId="0" applyFont="1" applyBorder="1"/>
    <xf numFmtId="0" fontId="20" fillId="0" borderId="11" xfId="0" applyFont="1" applyBorder="1"/>
    <xf numFmtId="164" fontId="20" fillId="0" borderId="13" xfId="0" applyNumberFormat="1" applyFont="1" applyBorder="1"/>
    <xf numFmtId="166" fontId="20" fillId="0" borderId="11" xfId="0" applyNumberFormat="1" applyFont="1" applyBorder="1"/>
    <xf numFmtId="179" fontId="24" fillId="0" borderId="18" xfId="0" applyNumberFormat="1" applyFont="1" applyBorder="1"/>
    <xf numFmtId="0" fontId="51" fillId="0" borderId="0" xfId="0" applyFont="1"/>
    <xf numFmtId="0" fontId="22" fillId="0" borderId="0" xfId="0" applyFont="1"/>
    <xf numFmtId="164" fontId="22" fillId="0" borderId="0" xfId="0" applyNumberFormat="1" applyFont="1"/>
    <xf numFmtId="166" fontId="20" fillId="0" borderId="0" xfId="0" applyNumberFormat="1" applyFont="1"/>
    <xf numFmtId="0" fontId="35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171" fontId="14" fillId="6" borderId="8" xfId="0" applyNumberFormat="1" applyFont="1" applyFill="1" applyBorder="1" applyAlignment="1">
      <alignment horizontal="centerContinuous"/>
    </xf>
    <xf numFmtId="0" fontId="48" fillId="0" borderId="0" xfId="0" applyFont="1"/>
    <xf numFmtId="0" fontId="20" fillId="0" borderId="11" xfId="324" applyFont="1" applyBorder="1"/>
    <xf numFmtId="166" fontId="22" fillId="0" borderId="0" xfId="325" applyFont="1" applyAlignment="1">
      <alignment horizontal="left"/>
    </xf>
    <xf numFmtId="166" fontId="22" fillId="0" borderId="0" xfId="325" quotePrefix="1" applyFont="1" applyAlignment="1">
      <alignment horizontal="left"/>
    </xf>
    <xf numFmtId="37" fontId="14" fillId="6" borderId="8" xfId="0" applyNumberFormat="1" applyFont="1" applyFill="1" applyBorder="1" applyAlignment="1">
      <alignment horizontal="centerContinuous"/>
    </xf>
    <xf numFmtId="166" fontId="13" fillId="2" borderId="0" xfId="323" applyFont="1" applyFill="1" applyAlignment="1">
      <alignment horizontal="centerContinuous"/>
    </xf>
    <xf numFmtId="167" fontId="0" fillId="0" borderId="0" xfId="0" applyNumberFormat="1"/>
    <xf numFmtId="8" fontId="0" fillId="0" borderId="0" xfId="0" applyNumberFormat="1"/>
    <xf numFmtId="0" fontId="40" fillId="2" borderId="0" xfId="0" applyFont="1" applyFill="1"/>
    <xf numFmtId="0" fontId="52" fillId="0" borderId="0" xfId="0" applyFont="1"/>
    <xf numFmtId="14" fontId="20" fillId="0" borderId="9" xfId="0" applyNumberFormat="1" applyFont="1" applyBorder="1" applyAlignment="1">
      <alignment horizontal="left"/>
    </xf>
    <xf numFmtId="0" fontId="53" fillId="0" borderId="0" xfId="0" applyFont="1"/>
    <xf numFmtId="166" fontId="26" fillId="0" borderId="0" xfId="325" applyFont="1" applyAlignment="1">
      <alignment horizontal="centerContinuous"/>
    </xf>
    <xf numFmtId="0" fontId="26" fillId="0" borderId="0" xfId="0" applyFont="1" applyAlignment="1">
      <alignment horizontal="center"/>
    </xf>
    <xf numFmtId="171" fontId="0" fillId="2" borderId="0" xfId="0" applyNumberFormat="1" applyFill="1"/>
    <xf numFmtId="164" fontId="23" fillId="0" borderId="3" xfId="0" applyNumberFormat="1" applyFont="1" applyBorder="1"/>
    <xf numFmtId="0" fontId="23" fillId="0" borderId="12" xfId="0" applyFont="1" applyBorder="1" applyAlignment="1">
      <alignment horizontal="center"/>
    </xf>
    <xf numFmtId="167" fontId="32" fillId="0" borderId="3" xfId="0" applyNumberFormat="1" applyFont="1" applyBorder="1" applyAlignment="1">
      <alignment horizontal="right"/>
    </xf>
    <xf numFmtId="164" fontId="21" fillId="0" borderId="0" xfId="325" applyNumberFormat="1" applyFont="1"/>
    <xf numFmtId="165" fontId="0" fillId="0" borderId="0" xfId="0" applyNumberFormat="1"/>
    <xf numFmtId="165" fontId="0" fillId="6" borderId="17" xfId="0" applyNumberFormat="1" applyFill="1" applyBorder="1"/>
    <xf numFmtId="165" fontId="0" fillId="6" borderId="15" xfId="0" applyNumberFormat="1" applyFill="1" applyBorder="1"/>
    <xf numFmtId="165" fontId="0" fillId="6" borderId="18" xfId="0" applyNumberFormat="1" applyFill="1" applyBorder="1"/>
    <xf numFmtId="164" fontId="25" fillId="0" borderId="0" xfId="325" applyNumberFormat="1" applyFont="1"/>
    <xf numFmtId="171" fontId="23" fillId="0" borderId="8" xfId="325" applyNumberFormat="1" applyFont="1" applyBorder="1"/>
    <xf numFmtId="165" fontId="24" fillId="0" borderId="0" xfId="325" applyNumberFormat="1" applyFont="1"/>
    <xf numFmtId="8" fontId="36" fillId="0" borderId="3" xfId="29" applyNumberFormat="1" applyFont="1" applyFill="1" applyBorder="1"/>
    <xf numFmtId="184" fontId="16" fillId="0" borderId="0" xfId="0" applyNumberFormat="1" applyFont="1"/>
    <xf numFmtId="184" fontId="16" fillId="0" borderId="3" xfId="0" applyNumberFormat="1" applyFont="1" applyBorder="1"/>
    <xf numFmtId="165" fontId="25" fillId="2" borderId="3" xfId="0" applyNumberFormat="1" applyFont="1" applyFill="1" applyBorder="1"/>
    <xf numFmtId="164" fontId="20" fillId="2" borderId="12" xfId="0" applyNumberFormat="1" applyFont="1" applyFill="1" applyBorder="1"/>
    <xf numFmtId="8" fontId="0" fillId="2" borderId="3" xfId="0" applyNumberFormat="1" applyFill="1" applyBorder="1"/>
    <xf numFmtId="167" fontId="0" fillId="2" borderId="12" xfId="0" applyNumberFormat="1" applyFill="1" applyBorder="1"/>
    <xf numFmtId="0" fontId="20" fillId="0" borderId="0" xfId="0" applyFont="1" applyAlignment="1">
      <alignment horizontal="center"/>
    </xf>
    <xf numFmtId="168" fontId="23" fillId="0" borderId="0" xfId="0" quotePrefix="1" applyNumberFormat="1" applyFont="1" applyAlignment="1">
      <alignment horizontal="center"/>
    </xf>
    <xf numFmtId="170" fontId="23" fillId="0" borderId="0" xfId="331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4" fontId="1" fillId="0" borderId="0" xfId="0" applyNumberFormat="1" applyFont="1"/>
    <xf numFmtId="171" fontId="0" fillId="0" borderId="0" xfId="0" applyNumberFormat="1" applyAlignment="1">
      <alignment horizontal="center"/>
    </xf>
    <xf numFmtId="171" fontId="1" fillId="0" borderId="0" xfId="0" applyNumberFormat="1" applyFont="1" applyAlignment="1">
      <alignment horizontal="center"/>
    </xf>
    <xf numFmtId="171" fontId="55" fillId="0" borderId="0" xfId="0" applyNumberFormat="1" applyFont="1" applyAlignment="1">
      <alignment horizontal="center"/>
    </xf>
    <xf numFmtId="168" fontId="55" fillId="0" borderId="0" xfId="0" applyNumberFormat="1" applyFont="1" applyAlignment="1">
      <alignment horizontal="center"/>
    </xf>
    <xf numFmtId="171" fontId="55" fillId="6" borderId="0" xfId="0" applyNumberFormat="1" applyFont="1" applyFill="1" applyAlignment="1">
      <alignment horizontal="center"/>
    </xf>
    <xf numFmtId="168" fontId="55" fillId="6" borderId="0" xfId="0" applyNumberFormat="1" applyFont="1" applyFill="1" applyAlignment="1">
      <alignment horizontal="center"/>
    </xf>
    <xf numFmtId="0" fontId="15" fillId="2" borderId="0" xfId="0" applyFont="1" applyFill="1"/>
    <xf numFmtId="164" fontId="20" fillId="0" borderId="12" xfId="0" applyNumberFormat="1" applyFont="1" applyBorder="1"/>
    <xf numFmtId="166" fontId="23" fillId="0" borderId="0" xfId="0" applyNumberFormat="1" applyFont="1" applyProtection="1">
      <protection locked="0"/>
    </xf>
    <xf numFmtId="174" fontId="23" fillId="0" borderId="0" xfId="0" applyNumberFormat="1" applyFont="1" applyProtection="1">
      <protection locked="0"/>
    </xf>
    <xf numFmtId="167" fontId="0" fillId="0" borderId="12" xfId="0" applyNumberFormat="1" applyBorder="1"/>
    <xf numFmtId="164" fontId="0" fillId="0" borderId="3" xfId="0" applyNumberFormat="1" applyBorder="1"/>
    <xf numFmtId="166" fontId="0" fillId="0" borderId="3" xfId="0" applyNumberFormat="1" applyBorder="1"/>
    <xf numFmtId="164" fontId="20" fillId="0" borderId="18" xfId="33" applyNumberFormat="1" applyFont="1" applyFill="1" applyBorder="1"/>
    <xf numFmtId="167" fontId="23" fillId="0" borderId="3" xfId="0" applyNumberFormat="1" applyFont="1" applyBorder="1"/>
    <xf numFmtId="167" fontId="24" fillId="0" borderId="3" xfId="0" applyNumberFormat="1" applyFont="1" applyBorder="1"/>
    <xf numFmtId="181" fontId="20" fillId="0" borderId="18" xfId="0" applyNumberFormat="1" applyFont="1" applyBorder="1" applyAlignment="1">
      <alignment horizontal="right"/>
    </xf>
    <xf numFmtId="0" fontId="30" fillId="0" borderId="13" xfId="0" applyFont="1" applyBorder="1"/>
    <xf numFmtId="0" fontId="30" fillId="0" borderId="0" xfId="0" applyFont="1"/>
    <xf numFmtId="0" fontId="92" fillId="0" borderId="13" xfId="0" applyFont="1" applyBorder="1"/>
    <xf numFmtId="0" fontId="29" fillId="0" borderId="13" xfId="0" applyFont="1" applyBorder="1"/>
    <xf numFmtId="0" fontId="30" fillId="0" borderId="14" xfId="0" applyFont="1" applyBorder="1"/>
    <xf numFmtId="0" fontId="30" fillId="0" borderId="5" xfId="0" applyFont="1" applyBorder="1"/>
    <xf numFmtId="0" fontId="30" fillId="2" borderId="0" xfId="0" applyFont="1" applyFill="1" applyAlignment="1">
      <alignment horizontal="left"/>
    </xf>
    <xf numFmtId="166" fontId="29" fillId="2" borderId="0" xfId="323" applyFont="1" applyFill="1"/>
    <xf numFmtId="166" fontId="93" fillId="2" borderId="0" xfId="323" applyFont="1" applyFill="1"/>
    <xf numFmtId="165" fontId="29" fillId="2" borderId="8" xfId="0" applyNumberFormat="1" applyFont="1" applyFill="1" applyBorder="1" applyAlignment="1">
      <alignment horizontal="centerContinuous"/>
    </xf>
    <xf numFmtId="0" fontId="93" fillId="2" borderId="0" xfId="0" applyFont="1" applyFill="1"/>
    <xf numFmtId="166" fontId="29" fillId="2" borderId="8" xfId="323" applyFont="1" applyFill="1" applyBorder="1" applyAlignment="1">
      <alignment horizontal="center"/>
    </xf>
    <xf numFmtId="186" fontId="23" fillId="0" borderId="0" xfId="23" applyNumberFormat="1" applyFont="1"/>
    <xf numFmtId="7" fontId="23" fillId="0" borderId="0" xfId="23" applyNumberFormat="1" applyFont="1"/>
    <xf numFmtId="0" fontId="5" fillId="0" borderId="0" xfId="23" applyAlignment="1">
      <alignment horizontal="center"/>
    </xf>
    <xf numFmtId="186" fontId="5" fillId="0" borderId="0" xfId="23" applyNumberFormat="1"/>
    <xf numFmtId="164" fontId="5" fillId="0" borderId="3" xfId="23" applyNumberFormat="1" applyBorder="1"/>
    <xf numFmtId="0" fontId="1" fillId="0" borderId="0" xfId="0" applyFont="1"/>
    <xf numFmtId="166" fontId="1" fillId="2" borderId="0" xfId="323" applyFont="1" applyFill="1"/>
    <xf numFmtId="0" fontId="30" fillId="2" borderId="0" xfId="0" applyFont="1" applyFill="1"/>
    <xf numFmtId="0" fontId="1" fillId="2" borderId="0" xfId="0" applyFont="1" applyFill="1"/>
    <xf numFmtId="166" fontId="1" fillId="2" borderId="0" xfId="323" applyFont="1" applyFill="1" applyAlignment="1">
      <alignment horizontal="centerContinuous"/>
    </xf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Alignment="1">
      <alignment horizontal="left"/>
    </xf>
    <xf numFmtId="171" fontId="1" fillId="0" borderId="0" xfId="0" applyNumberFormat="1" applyFont="1"/>
    <xf numFmtId="0" fontId="1" fillId="0" borderId="3" xfId="0" applyFont="1" applyBorder="1"/>
    <xf numFmtId="164" fontId="1" fillId="0" borderId="3" xfId="0" applyNumberFormat="1" applyFont="1" applyBorder="1"/>
    <xf numFmtId="166" fontId="1" fillId="0" borderId="0" xfId="0" applyNumberFormat="1" applyFont="1"/>
    <xf numFmtId="166" fontId="1" fillId="0" borderId="3" xfId="0" applyNumberFormat="1" applyFont="1" applyBorder="1"/>
    <xf numFmtId="166" fontId="1" fillId="2" borderId="0" xfId="0" applyNumberFormat="1" applyFont="1" applyFill="1"/>
    <xf numFmtId="171" fontId="1" fillId="2" borderId="0" xfId="0" applyNumberFormat="1" applyFont="1" applyFill="1"/>
    <xf numFmtId="171" fontId="1" fillId="0" borderId="11" xfId="0" applyNumberFormat="1" applyFont="1" applyBorder="1"/>
    <xf numFmtId="171" fontId="1" fillId="0" borderId="0" xfId="331" applyNumberFormat="1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8" fontId="1" fillId="0" borderId="0" xfId="0" applyNumberFormat="1" applyFont="1"/>
    <xf numFmtId="167" fontId="1" fillId="0" borderId="0" xfId="0" applyNumberFormat="1" applyFont="1"/>
    <xf numFmtId="166" fontId="23" fillId="2" borderId="0" xfId="0" applyNumberFormat="1" applyFont="1" applyFill="1"/>
    <xf numFmtId="166" fontId="1" fillId="0" borderId="5" xfId="0" applyNumberFormat="1" applyFont="1" applyBorder="1"/>
    <xf numFmtId="0" fontId="1" fillId="0" borderId="5" xfId="0" applyFont="1" applyBorder="1"/>
    <xf numFmtId="0" fontId="1" fillId="0" borderId="16" xfId="0" applyFont="1" applyBorder="1"/>
    <xf numFmtId="0" fontId="1" fillId="0" borderId="10" xfId="0" applyFont="1" applyBorder="1"/>
    <xf numFmtId="0" fontId="26" fillId="0" borderId="13" xfId="0" applyFont="1" applyBorder="1"/>
    <xf numFmtId="0" fontId="1" fillId="0" borderId="13" xfId="0" applyFont="1" applyBorder="1" applyAlignment="1">
      <alignment horizontal="left"/>
    </xf>
    <xf numFmtId="164" fontId="16" fillId="0" borderId="0" xfId="0" applyNumberFormat="1" applyFont="1"/>
    <xf numFmtId="164" fontId="16" fillId="0" borderId="3" xfId="0" applyNumberFormat="1" applyFont="1" applyBorder="1"/>
    <xf numFmtId="178" fontId="16" fillId="0" borderId="0" xfId="0" applyNumberFormat="1" applyFont="1"/>
    <xf numFmtId="178" fontId="16" fillId="0" borderId="3" xfId="0" applyNumberFormat="1" applyFont="1" applyBorder="1"/>
    <xf numFmtId="0" fontId="1" fillId="0" borderId="13" xfId="0" applyFont="1" applyBorder="1"/>
    <xf numFmtId="178" fontId="16" fillId="0" borderId="0" xfId="0" quotePrefix="1" applyNumberFormat="1" applyFont="1" applyAlignment="1">
      <alignment horizontal="right"/>
    </xf>
    <xf numFmtId="178" fontId="16" fillId="0" borderId="3" xfId="0" quotePrefix="1" applyNumberFormat="1" applyFont="1" applyBorder="1" applyAlignment="1">
      <alignment horizontal="right"/>
    </xf>
    <xf numFmtId="0" fontId="1" fillId="0" borderId="5" xfId="0" quotePrefix="1" applyFont="1" applyBorder="1"/>
    <xf numFmtId="167" fontId="1" fillId="0" borderId="18" xfId="0" applyNumberFormat="1" applyFont="1" applyBorder="1"/>
    <xf numFmtId="0" fontId="1" fillId="0" borderId="14" xfId="0" applyFont="1" applyBorder="1" applyAlignment="1">
      <alignment horizontal="left"/>
    </xf>
    <xf numFmtId="170" fontId="1" fillId="0" borderId="5" xfId="0" applyNumberFormat="1" applyFont="1" applyBorder="1" applyAlignment="1">
      <alignment horizontal="right"/>
    </xf>
    <xf numFmtId="171" fontId="16" fillId="0" borderId="5" xfId="0" applyNumberFormat="1" applyFont="1" applyBorder="1"/>
    <xf numFmtId="171" fontId="16" fillId="0" borderId="16" xfId="0" applyNumberFormat="1" applyFont="1" applyBorder="1"/>
    <xf numFmtId="168" fontId="16" fillId="0" borderId="13" xfId="0" applyNumberFormat="1" applyFont="1" applyBorder="1"/>
    <xf numFmtId="168" fontId="16" fillId="0" borderId="0" xfId="0" applyNumberFormat="1" applyFont="1"/>
    <xf numFmtId="165" fontId="16" fillId="0" borderId="0" xfId="331" applyNumberFormat="1" applyFont="1" applyFill="1" applyBorder="1"/>
    <xf numFmtId="165" fontId="16" fillId="0" borderId="3" xfId="331" applyNumberFormat="1" applyFont="1" applyFill="1" applyBorder="1"/>
    <xf numFmtId="168" fontId="16" fillId="0" borderId="14" xfId="0" applyNumberFormat="1" applyFont="1" applyBorder="1"/>
    <xf numFmtId="168" fontId="16" fillId="0" borderId="5" xfId="0" applyNumberFormat="1" applyFont="1" applyBorder="1"/>
    <xf numFmtId="0" fontId="1" fillId="0" borderId="5" xfId="0" applyFont="1" applyBorder="1" applyAlignment="1">
      <alignment horizontal="left"/>
    </xf>
    <xf numFmtId="165" fontId="16" fillId="0" borderId="5" xfId="331" applyNumberFormat="1" applyFont="1" applyFill="1" applyBorder="1"/>
    <xf numFmtId="165" fontId="16" fillId="0" borderId="16" xfId="331" applyNumberFormat="1" applyFont="1" applyFill="1" applyBorder="1"/>
    <xf numFmtId="167" fontId="1" fillId="0" borderId="15" xfId="0" applyNumberFormat="1" applyFont="1" applyBorder="1"/>
    <xf numFmtId="8" fontId="1" fillId="0" borderId="5" xfId="0" applyNumberFormat="1" applyFont="1" applyBorder="1"/>
    <xf numFmtId="169" fontId="1" fillId="0" borderId="0" xfId="0" applyNumberFormat="1" applyFont="1"/>
    <xf numFmtId="169" fontId="1" fillId="0" borderId="3" xfId="0" applyNumberFormat="1" applyFont="1" applyBorder="1"/>
    <xf numFmtId="168" fontId="1" fillId="0" borderId="0" xfId="0" applyNumberFormat="1" applyFont="1"/>
    <xf numFmtId="168" fontId="1" fillId="0" borderId="3" xfId="0" applyNumberFormat="1" applyFont="1" applyBorder="1"/>
    <xf numFmtId="164" fontId="1" fillId="2" borderId="3" xfId="0" applyNumberFormat="1" applyFont="1" applyFill="1" applyBorder="1"/>
    <xf numFmtId="168" fontId="1" fillId="0" borderId="5" xfId="0" applyNumberFormat="1" applyFont="1" applyBorder="1"/>
    <xf numFmtId="168" fontId="1" fillId="0" borderId="16" xfId="0" applyNumberFormat="1" applyFont="1" applyBorder="1"/>
    <xf numFmtId="171" fontId="1" fillId="2" borderId="3" xfId="0" applyNumberFormat="1" applyFont="1" applyFill="1" applyBorder="1"/>
    <xf numFmtId="0" fontId="1" fillId="0" borderId="10" xfId="0" applyFont="1" applyBorder="1" applyAlignment="1">
      <alignment horizontal="left"/>
    </xf>
    <xf numFmtId="181" fontId="1" fillId="0" borderId="12" xfId="0" applyNumberFormat="1" applyFont="1" applyBorder="1" applyAlignment="1">
      <alignment horizontal="right"/>
    </xf>
    <xf numFmtId="182" fontId="1" fillId="0" borderId="3" xfId="0" applyNumberFormat="1" applyFont="1" applyBorder="1" applyAlignment="1">
      <alignment horizontal="right"/>
    </xf>
    <xf numFmtId="167" fontId="1" fillId="2" borderId="3" xfId="0" applyNumberFormat="1" applyFont="1" applyFill="1" applyBorder="1"/>
    <xf numFmtId="171" fontId="1" fillId="2" borderId="16" xfId="0" applyNumberFormat="1" applyFont="1" applyFill="1" applyBorder="1"/>
    <xf numFmtId="0" fontId="1" fillId="0" borderId="0" xfId="324"/>
    <xf numFmtId="0" fontId="1" fillId="0" borderId="0" xfId="324" applyAlignment="1">
      <alignment horizontal="center"/>
    </xf>
    <xf numFmtId="164" fontId="1" fillId="0" borderId="0" xfId="324" applyNumberFormat="1"/>
    <xf numFmtId="166" fontId="1" fillId="0" borderId="0" xfId="324" applyNumberFormat="1"/>
    <xf numFmtId="166" fontId="1" fillId="0" borderId="11" xfId="0" applyNumberFormat="1" applyFont="1" applyBorder="1"/>
    <xf numFmtId="171" fontId="2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centerContinuous"/>
    </xf>
    <xf numFmtId="179" fontId="1" fillId="0" borderId="15" xfId="0" applyNumberFormat="1" applyFont="1" applyBorder="1"/>
    <xf numFmtId="166" fontId="16" fillId="0" borderId="0" xfId="0" applyNumberFormat="1" applyFont="1"/>
    <xf numFmtId="165" fontId="16" fillId="0" borderId="0" xfId="0" applyNumberFormat="1" applyFont="1"/>
    <xf numFmtId="165" fontId="1" fillId="0" borderId="0" xfId="0" applyNumberFormat="1" applyFont="1"/>
    <xf numFmtId="0" fontId="1" fillId="0" borderId="0" xfId="0" quotePrefix="1" applyFont="1" applyAlignment="1">
      <alignment horizontal="left"/>
    </xf>
    <xf numFmtId="0" fontId="1" fillId="0" borderId="11" xfId="0" applyFont="1" applyBorder="1" applyAlignment="1">
      <alignment horizontal="center"/>
    </xf>
    <xf numFmtId="0" fontId="16" fillId="0" borderId="0" xfId="324" applyFont="1"/>
    <xf numFmtId="166" fontId="16" fillId="0" borderId="3" xfId="0" applyNumberFormat="1" applyFont="1" applyBorder="1"/>
    <xf numFmtId="0" fontId="1" fillId="0" borderId="11" xfId="324" applyBorder="1"/>
    <xf numFmtId="166" fontId="1" fillId="0" borderId="12" xfId="0" applyNumberFormat="1" applyFont="1" applyBorder="1"/>
    <xf numFmtId="0" fontId="16" fillId="0" borderId="0" xfId="0" applyFont="1"/>
    <xf numFmtId="0" fontId="1" fillId="0" borderId="0" xfId="0" applyFont="1" applyAlignment="1">
      <alignment horizontal="right"/>
    </xf>
    <xf numFmtId="0" fontId="1" fillId="0" borderId="12" xfId="0" applyFont="1" applyBorder="1"/>
    <xf numFmtId="171" fontId="1" fillId="0" borderId="3" xfId="0" applyNumberFormat="1" applyFont="1" applyBorder="1"/>
    <xf numFmtId="165" fontId="1" fillId="0" borderId="3" xfId="0" applyNumberFormat="1" applyFont="1" applyBorder="1"/>
    <xf numFmtId="166" fontId="40" fillId="0" borderId="0" xfId="325" applyFont="1"/>
    <xf numFmtId="166" fontId="1" fillId="0" borderId="0" xfId="325" applyFont="1"/>
    <xf numFmtId="166" fontId="1" fillId="0" borderId="9" xfId="325" applyFont="1" applyBorder="1"/>
    <xf numFmtId="166" fontId="1" fillId="0" borderId="12" xfId="325" applyFont="1" applyBorder="1"/>
    <xf numFmtId="166" fontId="1" fillId="0" borderId="3" xfId="325" applyFont="1" applyBorder="1"/>
    <xf numFmtId="164" fontId="16" fillId="0" borderId="3" xfId="325" applyNumberFormat="1" applyFont="1" applyBorder="1"/>
    <xf numFmtId="164" fontId="16" fillId="0" borderId="0" xfId="325" applyNumberFormat="1" applyFont="1"/>
    <xf numFmtId="166" fontId="16" fillId="0" borderId="3" xfId="325" applyFont="1" applyBorder="1"/>
    <xf numFmtId="166" fontId="16" fillId="0" borderId="0" xfId="325" applyFont="1"/>
    <xf numFmtId="166" fontId="1" fillId="0" borderId="11" xfId="325" applyFont="1" applyBorder="1"/>
    <xf numFmtId="168" fontId="1" fillId="0" borderId="3" xfId="325" applyNumberFormat="1" applyFont="1" applyBorder="1"/>
    <xf numFmtId="168" fontId="1" fillId="0" borderId="0" xfId="325" applyNumberFormat="1" applyFont="1"/>
    <xf numFmtId="172" fontId="1" fillId="0" borderId="3" xfId="325" applyNumberFormat="1" applyFont="1" applyBorder="1"/>
    <xf numFmtId="172" fontId="1" fillId="0" borderId="0" xfId="325" applyNumberFormat="1" applyFont="1"/>
    <xf numFmtId="172" fontId="1" fillId="0" borderId="3" xfId="325" applyNumberFormat="1" applyFont="1" applyBorder="1" applyAlignment="1">
      <alignment horizontal="right"/>
    </xf>
    <xf numFmtId="172" fontId="1" fillId="0" borderId="0" xfId="325" applyNumberFormat="1" applyFont="1" applyAlignment="1">
      <alignment horizontal="right"/>
    </xf>
    <xf numFmtId="185" fontId="1" fillId="0" borderId="3" xfId="325" applyNumberFormat="1" applyFont="1" applyBorder="1" applyAlignment="1">
      <alignment horizontal="right"/>
    </xf>
    <xf numFmtId="185" fontId="1" fillId="0" borderId="0" xfId="325" applyNumberFormat="1" applyFont="1" applyAlignment="1">
      <alignment horizontal="right"/>
    </xf>
    <xf numFmtId="166" fontId="1" fillId="0" borderId="16" xfId="325" applyFont="1" applyBorder="1"/>
    <xf numFmtId="166" fontId="1" fillId="0" borderId="0" xfId="325" applyFont="1" applyAlignment="1">
      <alignment horizontal="right"/>
    </xf>
    <xf numFmtId="171" fontId="1" fillId="0" borderId="0" xfId="325" applyNumberFormat="1" applyFont="1"/>
    <xf numFmtId="166" fontId="1" fillId="0" borderId="0" xfId="325" applyFont="1" applyAlignment="1">
      <alignment horizontal="centerContinuous"/>
    </xf>
    <xf numFmtId="183" fontId="1" fillId="0" borderId="0" xfId="325" applyNumberFormat="1" applyFont="1"/>
    <xf numFmtId="164" fontId="1" fillId="0" borderId="0" xfId="325" applyNumberFormat="1" applyFont="1"/>
    <xf numFmtId="168" fontId="16" fillId="0" borderId="0" xfId="325" applyNumberFormat="1" applyFont="1"/>
    <xf numFmtId="166" fontId="1" fillId="0" borderId="0" xfId="325" applyFont="1" applyAlignment="1">
      <alignment horizontal="left"/>
    </xf>
    <xf numFmtId="166" fontId="1" fillId="0" borderId="0" xfId="325" applyFont="1" applyAlignment="1">
      <alignment horizontal="center"/>
    </xf>
    <xf numFmtId="165" fontId="1" fillId="0" borderId="0" xfId="325" applyNumberFormat="1" applyFont="1"/>
    <xf numFmtId="166" fontId="23" fillId="0" borderId="3" xfId="0" applyNumberFormat="1" applyFont="1" applyBorder="1"/>
    <xf numFmtId="166" fontId="0" fillId="0" borderId="12" xfId="0" applyNumberFormat="1" applyBorder="1"/>
    <xf numFmtId="166" fontId="25" fillId="0" borderId="3" xfId="0" applyNumberFormat="1" applyFont="1" applyBorder="1"/>
    <xf numFmtId="0" fontId="54" fillId="0" borderId="3" xfId="0" applyFont="1" applyBorder="1" applyAlignment="1">
      <alignment horizontal="center"/>
    </xf>
    <xf numFmtId="165" fontId="23" fillId="0" borderId="3" xfId="0" applyNumberFormat="1" applyFont="1" applyBorder="1"/>
    <xf numFmtId="166" fontId="23" fillId="8" borderId="0" xfId="0" applyNumberFormat="1" applyFont="1" applyFill="1"/>
    <xf numFmtId="0" fontId="1" fillId="8" borderId="0" xfId="0" applyFont="1" applyFill="1"/>
    <xf numFmtId="0" fontId="26" fillId="8" borderId="13" xfId="0" applyFont="1" applyFill="1" applyBorder="1"/>
    <xf numFmtId="0" fontId="0" fillId="8" borderId="0" xfId="0" applyFill="1"/>
    <xf numFmtId="0" fontId="19" fillId="8" borderId="0" xfId="0" applyFont="1" applyFill="1" applyProtection="1">
      <protection locked="0"/>
    </xf>
    <xf numFmtId="0" fontId="1" fillId="8" borderId="3" xfId="0" applyFont="1" applyFill="1" applyBorder="1" applyAlignment="1">
      <alignment horizontal="right"/>
    </xf>
    <xf numFmtId="0" fontId="14" fillId="8" borderId="0" xfId="0" applyFont="1" applyFill="1" applyAlignment="1">
      <alignment horizontal="centerContinuous"/>
    </xf>
    <xf numFmtId="0" fontId="1" fillId="8" borderId="0" xfId="0" applyFont="1" applyFill="1" applyAlignment="1">
      <alignment horizontal="centerContinuous"/>
    </xf>
    <xf numFmtId="179" fontId="24" fillId="8" borderId="18" xfId="0" applyNumberFormat="1" applyFont="1" applyFill="1" applyBorder="1"/>
    <xf numFmtId="179" fontId="1" fillId="8" borderId="15" xfId="0" applyNumberFormat="1" applyFont="1" applyFill="1" applyBorder="1"/>
    <xf numFmtId="0" fontId="1" fillId="8" borderId="12" xfId="0" applyFont="1" applyFill="1" applyBorder="1"/>
    <xf numFmtId="0" fontId="1" fillId="8" borderId="11" xfId="0" applyFont="1" applyFill="1" applyBorder="1"/>
    <xf numFmtId="0" fontId="26" fillId="8" borderId="0" xfId="0" applyFont="1" applyFill="1" applyAlignment="1">
      <alignment horizontal="centerContinuous"/>
    </xf>
    <xf numFmtId="166" fontId="1" fillId="8" borderId="3" xfId="0" applyNumberFormat="1" applyFont="1" applyFill="1" applyBorder="1"/>
    <xf numFmtId="171" fontId="1" fillId="8" borderId="3" xfId="0" applyNumberFormat="1" applyFont="1" applyFill="1" applyBorder="1"/>
    <xf numFmtId="171" fontId="23" fillId="8" borderId="0" xfId="0" applyNumberFormat="1" applyFont="1" applyFill="1"/>
    <xf numFmtId="171" fontId="1" fillId="8" borderId="0" xfId="0" applyNumberFormat="1" applyFont="1" applyFill="1"/>
    <xf numFmtId="164" fontId="23" fillId="8" borderId="3" xfId="0" applyNumberFormat="1" applyFont="1" applyFill="1" applyBorder="1"/>
    <xf numFmtId="164" fontId="23" fillId="8" borderId="0" xfId="0" applyNumberFormat="1" applyFont="1" applyFill="1"/>
    <xf numFmtId="164" fontId="1" fillId="8" borderId="0" xfId="0" applyNumberFormat="1" applyFont="1" applyFill="1"/>
    <xf numFmtId="165" fontId="1" fillId="8" borderId="3" xfId="0" applyNumberFormat="1" applyFont="1" applyFill="1" applyBorder="1"/>
    <xf numFmtId="165" fontId="1" fillId="8" borderId="0" xfId="0" applyNumberFormat="1" applyFont="1" applyFill="1"/>
    <xf numFmtId="165" fontId="23" fillId="8" borderId="0" xfId="0" applyNumberFormat="1" applyFont="1" applyFill="1"/>
    <xf numFmtId="165" fontId="24" fillId="8" borderId="0" xfId="0" applyNumberFormat="1" applyFont="1" applyFill="1"/>
    <xf numFmtId="164" fontId="16" fillId="8" borderId="3" xfId="0" applyNumberFormat="1" applyFont="1" applyFill="1" applyBorder="1"/>
    <xf numFmtId="164" fontId="24" fillId="8" borderId="0" xfId="0" applyNumberFormat="1" applyFont="1" applyFill="1"/>
    <xf numFmtId="166" fontId="24" fillId="8" borderId="0" xfId="0" applyNumberFormat="1" applyFont="1" applyFill="1"/>
    <xf numFmtId="166" fontId="16" fillId="0" borderId="5" xfId="325" applyFont="1" applyBorder="1"/>
    <xf numFmtId="166" fontId="16" fillId="8" borderId="0" xfId="0" applyNumberFormat="1" applyFont="1" applyFill="1"/>
    <xf numFmtId="165" fontId="98" fillId="0" borderId="0" xfId="0" applyNumberFormat="1" applyFont="1"/>
    <xf numFmtId="0" fontId="1" fillId="0" borderId="0" xfId="0" quotePrefix="1" applyFont="1" applyAlignment="1">
      <alignment vertical="center"/>
    </xf>
    <xf numFmtId="0" fontId="99" fillId="0" borderId="0" xfId="0" applyFont="1" applyAlignment="1">
      <alignment horizontal="centerContinuous" vertical="center"/>
    </xf>
    <xf numFmtId="0" fontId="99" fillId="0" borderId="0" xfId="0" applyFont="1" applyAlignment="1">
      <alignment horizontal="centerContinuous"/>
    </xf>
    <xf numFmtId="0" fontId="100" fillId="0" borderId="0" xfId="0" applyFont="1" applyAlignment="1">
      <alignment horizontal="center" vertical="center"/>
    </xf>
    <xf numFmtId="0" fontId="20" fillId="9" borderId="21" xfId="0" applyFont="1" applyFill="1" applyBorder="1" applyAlignment="1">
      <alignment horizontal="center"/>
    </xf>
    <xf numFmtId="164" fontId="20" fillId="0" borderId="20" xfId="0" applyNumberFormat="1" applyFont="1" applyBorder="1"/>
    <xf numFmtId="166" fontId="97" fillId="8" borderId="0" xfId="0" applyNumberFormat="1" applyFont="1" applyFill="1"/>
    <xf numFmtId="171" fontId="97" fillId="8" borderId="0" xfId="0" applyNumberFormat="1" applyFont="1" applyFill="1"/>
    <xf numFmtId="166" fontId="1" fillId="0" borderId="19" xfId="0" applyNumberFormat="1" applyFont="1" applyBorder="1"/>
    <xf numFmtId="166" fontId="97" fillId="0" borderId="0" xfId="0" applyNumberFormat="1" applyFont="1"/>
    <xf numFmtId="7" fontId="0" fillId="0" borderId="0" xfId="0" applyNumberFormat="1"/>
    <xf numFmtId="166" fontId="101" fillId="0" borderId="0" xfId="0" applyNumberFormat="1" applyFont="1"/>
  </cellXfs>
  <cellStyles count="457">
    <cellStyle name=";;;" xfId="15" xr:uid="{00000000-0005-0000-0000-00000F000000}"/>
    <cellStyle name="******************************************" xfId="14" xr:uid="{00000000-0005-0000-0000-00000E000000}"/>
    <cellStyle name="#" xfId="1" xr:uid="{00000000-0005-0000-0000-000000000000}"/>
    <cellStyle name="#-" xfId="2" xr:uid="{00000000-0005-0000-0000-000001000000}"/>
    <cellStyle name="%" xfId="12" xr:uid="{00000000-0005-0000-0000-00000C000000}"/>
    <cellStyle name="%-" xfId="13" xr:uid="{00000000-0005-0000-0000-00000D000000}"/>
    <cellStyle name="$" xfId="3" xr:uid="{00000000-0005-0000-0000-000002000000}"/>
    <cellStyle name="$_Hershey_Model_0.54" xfId="5" xr:uid="{00000000-0005-0000-0000-000004000000}"/>
    <cellStyle name="$_HSY_2006_Board_Memo_Supportv1.0" xfId="6" xr:uid="{00000000-0005-0000-0000-000005000000}"/>
    <cellStyle name="$-" xfId="4" xr:uid="{00000000-0005-0000-0000-000003000000}"/>
    <cellStyle name="$m" xfId="7" xr:uid="{00000000-0005-0000-0000-000006000000}"/>
    <cellStyle name="$q" xfId="8" xr:uid="{00000000-0005-0000-0000-000007000000}"/>
    <cellStyle name="$q*" xfId="9" xr:uid="{00000000-0005-0000-0000-000008000000}"/>
    <cellStyle name="$qA" xfId="10" xr:uid="{00000000-0005-0000-0000-00000A000000}"/>
    <cellStyle name="$qRange" xfId="11" xr:uid="{00000000-0005-0000-0000-00000B000000}"/>
    <cellStyle name="£Currency [0]" xfId="16" xr:uid="{00000000-0005-0000-0000-000010000000}"/>
    <cellStyle name="£Currency [1]" xfId="17" xr:uid="{00000000-0005-0000-0000-000011000000}"/>
    <cellStyle name="£Currency [2]" xfId="18" xr:uid="{00000000-0005-0000-0000-000012000000}"/>
    <cellStyle name="£Currency [p]" xfId="19" xr:uid="{00000000-0005-0000-0000-000013000000}"/>
    <cellStyle name="£Currency [p2]" xfId="20" xr:uid="{00000000-0005-0000-0000-000014000000}"/>
    <cellStyle name="£Pounds" xfId="21" xr:uid="{00000000-0005-0000-0000-000015000000}"/>
    <cellStyle name="Accounting $" xfId="22" xr:uid="{00000000-0005-0000-0000-000016000000}"/>
    <cellStyle name="AFE" xfId="23" xr:uid="{00000000-0005-0000-0000-000017000000}"/>
    <cellStyle name="Blue" xfId="24" xr:uid="{00000000-0005-0000-0000-000018000000}"/>
    <cellStyle name="Body_$Dollars" xfId="25" xr:uid="{00000000-0005-0000-0000-000019000000}"/>
    <cellStyle name="Bottom Edge" xfId="26" xr:uid="{00000000-0005-0000-0000-00001A000000}"/>
    <cellStyle name="bullet" xfId="27" xr:uid="{00000000-0005-0000-0000-00001B000000}"/>
    <cellStyle name="Cents" xfId="28" xr:uid="{00000000-0005-0000-0000-00001C000000}"/>
    <cellStyle name="Comma" xfId="29" builtinId="3"/>
    <cellStyle name="Comma [1]" xfId="30" xr:uid="{00000000-0005-0000-0000-00001E000000}"/>
    <cellStyle name="Comma Cents" xfId="31" xr:uid="{00000000-0005-0000-0000-00001F000000}"/>
    <cellStyle name="CompanyTitle" xfId="32" xr:uid="{00000000-0005-0000-0000-000020000000}"/>
    <cellStyle name="Currency" xfId="33" builtinId="4"/>
    <cellStyle name="Currency [1]" xfId="35" xr:uid="{00000000-0005-0000-0000-000023000000}"/>
    <cellStyle name="Currency [2]" xfId="36" xr:uid="{00000000-0005-0000-0000-000024000000}"/>
    <cellStyle name="Currency $" xfId="34" xr:uid="{00000000-0005-0000-0000-000022000000}"/>
    <cellStyle name="d_yield" xfId="37" xr:uid="{00000000-0005-0000-0000-000025000000}"/>
    <cellStyle name="d_yield_AVP" xfId="38" xr:uid="{00000000-0005-0000-0000-000026000000}"/>
    <cellStyle name="d_yield_AVP_Graphic Depiction - NO DEV" xfId="39" xr:uid="{00000000-0005-0000-0000-000027000000}"/>
    <cellStyle name="d_yield_AVP_THEsumPage (2)" xfId="40" xr:uid="{00000000-0005-0000-0000-000028000000}"/>
    <cellStyle name="d_yield_CompSheet" xfId="41" xr:uid="{00000000-0005-0000-0000-000029000000}"/>
    <cellStyle name="d_yield_CompSheet_LANCE_Model_v0.6.DCF.MASTER.Name" xfId="42" xr:uid="{00000000-0005-0000-0000-00002A000000}"/>
    <cellStyle name="d_yield_CompSheet_LANCE_Model_v0.6.DCF.MASTER.Name_Tootsie_TWO_DAY_TTS_Solution_v1.34" xfId="43" xr:uid="{00000000-0005-0000-0000-00002B000000}"/>
    <cellStyle name="d_yield_Disc Analysis" xfId="44" xr:uid="{00000000-0005-0000-0000-00002C000000}"/>
    <cellStyle name="d_yield_Disc Analysis_CompSheet" xfId="45" xr:uid="{00000000-0005-0000-0000-00002D000000}"/>
    <cellStyle name="d_yield_Disc Analysis_THEsumPage (2)" xfId="46" xr:uid="{00000000-0005-0000-0000-00002E000000}"/>
    <cellStyle name="d_yield_Fairness Opinion Valuation 4-23a.xls Chart 1" xfId="47" xr:uid="{00000000-0005-0000-0000-00002F000000}"/>
    <cellStyle name="d_yield_Fairness Opinion Valuation 4-23a.xls Chart 1_LANCE_Model_v0.6.DCF.MASTER.Name" xfId="48" xr:uid="{00000000-0005-0000-0000-000030000000}"/>
    <cellStyle name="d_yield_Fairness Opinion Valuation 4-23a.xls Chart 1_LANCE_Model_v0.6.DCF.MASTER.Name_Tootsie_TWO_DAY_TTS_Solution_v1.34" xfId="49" xr:uid="{00000000-0005-0000-0000-000031000000}"/>
    <cellStyle name="d_yield_LP Chart" xfId="50" xr:uid="{00000000-0005-0000-0000-000032000000}"/>
    <cellStyle name="d_yield_LP Chart_LANCE_Model_v0.6.DCF.MASTER.Name" xfId="51" xr:uid="{00000000-0005-0000-0000-000033000000}"/>
    <cellStyle name="d_yield_LP Chart_LANCE_Model_v0.6.DCF.MASTER.Name_Tootsie_TWO_DAY_TTS_Solution_v1.34" xfId="52" xr:uid="{00000000-0005-0000-0000-000034000000}"/>
    <cellStyle name="d_yield_LP Chart_THEsumPage (2)" xfId="53" xr:uid="{00000000-0005-0000-0000-000035000000}"/>
    <cellStyle name="d_yield_LP Chart_THEsumPage (2)_LANCE_Model_v0.6.DCF.MASTER.Name" xfId="54" xr:uid="{00000000-0005-0000-0000-000036000000}"/>
    <cellStyle name="d_yield_LP Chart_THEsumPage (2)_LANCE_Model_v0.6.DCF.MASTER.Name_Tootsie_TWO_DAY_TTS_Solution_v1.34" xfId="55" xr:uid="{00000000-0005-0000-0000-000037000000}"/>
    <cellStyle name="d_yield_Merg Cons" xfId="56" xr:uid="{00000000-0005-0000-0000-000038000000}"/>
    <cellStyle name="d_yield_Merg Cons_CompSheet" xfId="57" xr:uid="{00000000-0005-0000-0000-000039000000}"/>
    <cellStyle name="d_yield_Merg Cons_THEsumPage (2)" xfId="58" xr:uid="{00000000-0005-0000-0000-00003A000000}"/>
    <cellStyle name="d_yield_PowerValuation.xls Chart 21" xfId="59" xr:uid="{00000000-0005-0000-0000-00003B000000}"/>
    <cellStyle name="d_yield_PowerValuation.xls Chart 21_LANCE_Model_v0.6.DCF.MASTER.Name" xfId="60" xr:uid="{00000000-0005-0000-0000-00003C000000}"/>
    <cellStyle name="d_yield_PowerValuation.xls Chart 21_LANCE_Model_v0.6.DCF.MASTER.Name_Tootsie_TWO_DAY_TTS_Solution_v1.34" xfId="61" xr:uid="{00000000-0005-0000-0000-00003D000000}"/>
    <cellStyle name="d_yield_PowerValuation.xls Chart 28" xfId="62" xr:uid="{00000000-0005-0000-0000-00003E000000}"/>
    <cellStyle name="d_yield_PowerValuation.xls Chart 28_LANCE_Model_v0.6.DCF.MASTER.Name" xfId="63" xr:uid="{00000000-0005-0000-0000-00003F000000}"/>
    <cellStyle name="d_yield_PowerValuation.xls Chart 28_LANCE_Model_v0.6.DCF.MASTER.Name_Tootsie_TWO_DAY_TTS_Solution_v1.34" xfId="64" xr:uid="{00000000-0005-0000-0000-000040000000}"/>
    <cellStyle name="d_yield_Proj10" xfId="65" xr:uid="{00000000-0005-0000-0000-000041000000}"/>
    <cellStyle name="d_yield_Proj10_AVP" xfId="66" xr:uid="{00000000-0005-0000-0000-000042000000}"/>
    <cellStyle name="d_yield_Proj10_AVP_Graphic Depiction - NO DEV" xfId="67" xr:uid="{00000000-0005-0000-0000-000043000000}"/>
    <cellStyle name="d_yield_Proj10_AVP_THEsumPage (2)" xfId="68" xr:uid="{00000000-0005-0000-0000-000044000000}"/>
    <cellStyle name="d_yield_Proj10_CompSheet" xfId="69" xr:uid="{00000000-0005-0000-0000-000045000000}"/>
    <cellStyle name="d_yield_Proj10_CompSheet_LANCE_Model_v0.6.DCF.MASTER.Name" xfId="70" xr:uid="{00000000-0005-0000-0000-000046000000}"/>
    <cellStyle name="d_yield_Proj10_CompSheet_LANCE_Model_v0.6.DCF.MASTER.Name_Tootsie_TWO_DAY_TTS_Solution_v1.34" xfId="71" xr:uid="{00000000-0005-0000-0000-000047000000}"/>
    <cellStyle name="d_yield_Proj10_Disc Analysis" xfId="72" xr:uid="{00000000-0005-0000-0000-000048000000}"/>
    <cellStyle name="d_yield_Proj10_Disc Analysis_CompSheet" xfId="73" xr:uid="{00000000-0005-0000-0000-000049000000}"/>
    <cellStyle name="d_yield_Proj10_Disc Analysis_THEsumPage (2)" xfId="74" xr:uid="{00000000-0005-0000-0000-00004A000000}"/>
    <cellStyle name="d_yield_Proj10_Fairness Opinion Valuation 4-23a.xls Chart 1" xfId="75" xr:uid="{00000000-0005-0000-0000-00004B000000}"/>
    <cellStyle name="d_yield_Proj10_Fairness Opinion Valuation 4-23a.xls Chart 1_LANCE_Model_v0.6.DCF.MASTER.Name" xfId="76" xr:uid="{00000000-0005-0000-0000-00004C000000}"/>
    <cellStyle name="d_yield_Proj10_Fairness Opinion Valuation 4-23a.xls Chart 1_LANCE_Model_v0.6.DCF.MASTER.Name_Tootsie_TWO_DAY_TTS_Solution_v1.34" xfId="77" xr:uid="{00000000-0005-0000-0000-00004D000000}"/>
    <cellStyle name="d_yield_Proj10_LP Chart" xfId="78" xr:uid="{00000000-0005-0000-0000-00004E000000}"/>
    <cellStyle name="d_yield_Proj10_LP Chart_LANCE_Model_v0.6.DCF.MASTER.Name" xfId="79" xr:uid="{00000000-0005-0000-0000-00004F000000}"/>
    <cellStyle name="d_yield_Proj10_LP Chart_LANCE_Model_v0.6.DCF.MASTER.Name_Tootsie_TWO_DAY_TTS_Solution_v1.34" xfId="80" xr:uid="{00000000-0005-0000-0000-000050000000}"/>
    <cellStyle name="d_yield_Proj10_LP Chart_THEsumPage (2)" xfId="81" xr:uid="{00000000-0005-0000-0000-000051000000}"/>
    <cellStyle name="d_yield_Proj10_LP Chart_THEsumPage (2)_LANCE_Model_v0.6.DCF.MASTER.Name" xfId="82" xr:uid="{00000000-0005-0000-0000-000052000000}"/>
    <cellStyle name="d_yield_Proj10_LP Chart_THEsumPage (2)_LANCE_Model_v0.6.DCF.MASTER.Name_Tootsie_TWO_DAY_TTS_Solution_v1.34" xfId="83" xr:uid="{00000000-0005-0000-0000-000053000000}"/>
    <cellStyle name="d_yield_Proj10_Merg Cons" xfId="84" xr:uid="{00000000-0005-0000-0000-000054000000}"/>
    <cellStyle name="d_yield_Proj10_Merg Cons_CompSheet" xfId="85" xr:uid="{00000000-0005-0000-0000-000055000000}"/>
    <cellStyle name="d_yield_Proj10_Merg Cons_THEsumPage (2)" xfId="86" xr:uid="{00000000-0005-0000-0000-000056000000}"/>
    <cellStyle name="d_yield_Proj10_PowerValuation.xls Chart 21" xfId="87" xr:uid="{00000000-0005-0000-0000-000057000000}"/>
    <cellStyle name="d_yield_Proj10_PowerValuation.xls Chart 21_LANCE_Model_v0.6.DCF.MASTER.Name" xfId="88" xr:uid="{00000000-0005-0000-0000-000058000000}"/>
    <cellStyle name="d_yield_Proj10_PowerValuation.xls Chart 21_LANCE_Model_v0.6.DCF.MASTER.Name_Tootsie_TWO_DAY_TTS_Solution_v1.34" xfId="89" xr:uid="{00000000-0005-0000-0000-000059000000}"/>
    <cellStyle name="d_yield_Proj10_PowerValuation.xls Chart 28" xfId="90" xr:uid="{00000000-0005-0000-0000-00005A000000}"/>
    <cellStyle name="d_yield_Proj10_PowerValuation.xls Chart 28_LANCE_Model_v0.6.DCF.MASTER.Name" xfId="91" xr:uid="{00000000-0005-0000-0000-00005B000000}"/>
    <cellStyle name="d_yield_Proj10_PowerValuation.xls Chart 28_LANCE_Model_v0.6.DCF.MASTER.Name_Tootsie_TWO_DAY_TTS_Solution_v1.34" xfId="92" xr:uid="{00000000-0005-0000-0000-00005C000000}"/>
    <cellStyle name="d_yield_Proj10_Sensitivity" xfId="93" xr:uid="{00000000-0005-0000-0000-00005D000000}"/>
    <cellStyle name="d_yield_Proj10_Sensitivity_CompSheet" xfId="94" xr:uid="{00000000-0005-0000-0000-00005E000000}"/>
    <cellStyle name="d_yield_Proj10_Sensitivity_THEsumPage (2)" xfId="95" xr:uid="{00000000-0005-0000-0000-00005F000000}"/>
    <cellStyle name="d_yield_Proj10_show-hold" xfId="96" xr:uid="{00000000-0005-0000-0000-000060000000}"/>
    <cellStyle name="d_yield_Proj10_show-hold_Graphic Depiction - NO DEV" xfId="97" xr:uid="{00000000-0005-0000-0000-000061000000}"/>
    <cellStyle name="d_yield_Proj10_show-hold_THEsumPage (2)" xfId="98" xr:uid="{00000000-0005-0000-0000-000062000000}"/>
    <cellStyle name="d_yield_Proj10_THEsumPage (2)" xfId="99" xr:uid="{00000000-0005-0000-0000-000063000000}"/>
    <cellStyle name="d_yield_Proj10_THEsumPage (2)_LANCE_Model_v0.6.DCF.MASTER.Name" xfId="100" xr:uid="{00000000-0005-0000-0000-000064000000}"/>
    <cellStyle name="d_yield_Proj10_THEsumPage (2)_LANCE_Model_v0.6.DCF.MASTER.Name_Tootsie_TWO_DAY_TTS_Solution_v1.34" xfId="101" xr:uid="{00000000-0005-0000-0000-000065000000}"/>
    <cellStyle name="d_yield_Proj10_Valuation summaries" xfId="102" xr:uid="{00000000-0005-0000-0000-000066000000}"/>
    <cellStyle name="d_yield_Proj10_Valuation summaries_LANCE_Model_v0.6.DCF.MASTER.Name" xfId="103" xr:uid="{00000000-0005-0000-0000-000067000000}"/>
    <cellStyle name="d_yield_Proj10_Valuation summaries_LANCE_Model_v0.6.DCF.MASTER.Name_Tootsie_TWO_DAY_TTS_Solution_v1.34" xfId="104" xr:uid="{00000000-0005-0000-0000-000068000000}"/>
    <cellStyle name="d_yield_Proj10_WACC-CableCar" xfId="105" xr:uid="{00000000-0005-0000-0000-000069000000}"/>
    <cellStyle name="d_yield_Proj10_WACC-CableCar_LANCE_Model_v0.6.DCF.MASTER.Name" xfId="106" xr:uid="{00000000-0005-0000-0000-00006A000000}"/>
    <cellStyle name="d_yield_Proj10_WACC-CableCar_LANCE_Model_v0.6.DCF.MASTER.Name_Tootsie_TWO_DAY_TTS_Solution_v1.34" xfId="107" xr:uid="{00000000-0005-0000-0000-00006B000000}"/>
    <cellStyle name="d_yield_Proj10_WACC-CableCar_THEsumPage (2)" xfId="108" xr:uid="{00000000-0005-0000-0000-00006C000000}"/>
    <cellStyle name="d_yield_Proj10_WACC-CableCar_THEsumPage (2)_LANCE_Model_v0.6.DCF.MASTER.Name" xfId="109" xr:uid="{00000000-0005-0000-0000-00006D000000}"/>
    <cellStyle name="d_yield_Proj10_WACC-CableCar_THEsumPage (2)_LANCE_Model_v0.6.DCF.MASTER.Name_Tootsie_TWO_DAY_TTS_Solution_v1.34" xfId="110" xr:uid="{00000000-0005-0000-0000-00006E000000}"/>
    <cellStyle name="d_yield_Proj10_WACC-RAD (2)" xfId="111" xr:uid="{00000000-0005-0000-0000-00006F000000}"/>
    <cellStyle name="d_yield_Proj10_WACC-RAD (2)_LANCE_Model_v0.6.DCF.MASTER.Name" xfId="112" xr:uid="{00000000-0005-0000-0000-000070000000}"/>
    <cellStyle name="d_yield_Proj10_WACC-RAD (2)_LANCE_Model_v0.6.DCF.MASTER.Name_Tootsie_TWO_DAY_TTS_Solution_v1.34" xfId="113" xr:uid="{00000000-0005-0000-0000-000071000000}"/>
    <cellStyle name="d_yield_Proj10_WACC-RAD (2)_THEsumPage (2)" xfId="114" xr:uid="{00000000-0005-0000-0000-000072000000}"/>
    <cellStyle name="d_yield_Proj10_WACC-RAD (2)_THEsumPage (2)_LANCE_Model_v0.6.DCF.MASTER.Name" xfId="115" xr:uid="{00000000-0005-0000-0000-000073000000}"/>
    <cellStyle name="d_yield_Proj10_WACC-RAD (2)_THEsumPage (2)_LANCE_Model_v0.6.DCF.MASTER.Name_Tootsie_TWO_DAY_TTS_Solution_v1.34" xfId="116" xr:uid="{00000000-0005-0000-0000-000074000000}"/>
    <cellStyle name="d_yield_Sensitivity" xfId="117" xr:uid="{00000000-0005-0000-0000-000075000000}"/>
    <cellStyle name="d_yield_Sensitivity_CompSheet" xfId="118" xr:uid="{00000000-0005-0000-0000-000076000000}"/>
    <cellStyle name="d_yield_Sensitivity_THEsumPage (2)" xfId="119" xr:uid="{00000000-0005-0000-0000-000077000000}"/>
    <cellStyle name="d_yield_show-hold" xfId="120" xr:uid="{00000000-0005-0000-0000-000078000000}"/>
    <cellStyle name="d_yield_show-hold_CompSheet" xfId="121" xr:uid="{00000000-0005-0000-0000-000079000000}"/>
    <cellStyle name="d_yield_show-hold_THEsumPage (2)" xfId="122" xr:uid="{00000000-0005-0000-0000-00007A000000}"/>
    <cellStyle name="d_yield_THEsumPage (2)" xfId="123" xr:uid="{00000000-0005-0000-0000-00007B000000}"/>
    <cellStyle name="d_yield_THEsumPage (2)_LANCE_Model_v0.6.DCF.MASTER.Name" xfId="124" xr:uid="{00000000-0005-0000-0000-00007C000000}"/>
    <cellStyle name="d_yield_THEsumPage (2)_LANCE_Model_v0.6.DCF.MASTER.Name_Tootsie_TWO_DAY_TTS_Solution_v1.34" xfId="125" xr:uid="{00000000-0005-0000-0000-00007D000000}"/>
    <cellStyle name="d_yield_Valuation summaries" xfId="126" xr:uid="{00000000-0005-0000-0000-00007E000000}"/>
    <cellStyle name="d_yield_Valuation summaries_LANCE_Model_v0.6.DCF.MASTER.Name" xfId="127" xr:uid="{00000000-0005-0000-0000-00007F000000}"/>
    <cellStyle name="d_yield_Valuation summaries_LANCE_Model_v0.6.DCF.MASTER.Name_Tootsie_TWO_DAY_TTS_Solution_v1.34" xfId="128" xr:uid="{00000000-0005-0000-0000-000080000000}"/>
    <cellStyle name="d_yield_WACC-CableCar" xfId="129" xr:uid="{00000000-0005-0000-0000-000081000000}"/>
    <cellStyle name="d_yield_WACC-CableCar_LANCE_Model_v0.6.DCF.MASTER.Name" xfId="130" xr:uid="{00000000-0005-0000-0000-000082000000}"/>
    <cellStyle name="d_yield_WACC-CableCar_LANCE_Model_v0.6.DCF.MASTER.Name_Tootsie_TWO_DAY_TTS_Solution_v1.34" xfId="131" xr:uid="{00000000-0005-0000-0000-000083000000}"/>
    <cellStyle name="d_yield_WACC-CableCar_THEsumPage (2)" xfId="132" xr:uid="{00000000-0005-0000-0000-000084000000}"/>
    <cellStyle name="d_yield_WACC-CableCar_THEsumPage (2)_LANCE_Model_v0.6.DCF.MASTER.Name" xfId="133" xr:uid="{00000000-0005-0000-0000-000085000000}"/>
    <cellStyle name="d_yield_WACC-CableCar_THEsumPage (2)_LANCE_Model_v0.6.DCF.MASTER.Name_Tootsie_TWO_DAY_TTS_Solution_v1.34" xfId="134" xr:uid="{00000000-0005-0000-0000-000086000000}"/>
    <cellStyle name="d_yield_WACC-RAD (2)" xfId="135" xr:uid="{00000000-0005-0000-0000-000087000000}"/>
    <cellStyle name="d_yield_WACC-RAD (2)_LANCE_Model_v0.6.DCF.MASTER.Name" xfId="136" xr:uid="{00000000-0005-0000-0000-000088000000}"/>
    <cellStyle name="d_yield_WACC-RAD (2)_LANCE_Model_v0.6.DCF.MASTER.Name_Tootsie_TWO_DAY_TTS_Solution_v1.34" xfId="137" xr:uid="{00000000-0005-0000-0000-000089000000}"/>
    <cellStyle name="d_yield_WACC-RAD (2)_THEsumPage (2)" xfId="138" xr:uid="{00000000-0005-0000-0000-00008A000000}"/>
    <cellStyle name="d_yield_WACC-RAD (2)_THEsumPage (2)_LANCE_Model_v0.6.DCF.MASTER.Name" xfId="139" xr:uid="{00000000-0005-0000-0000-00008B000000}"/>
    <cellStyle name="d_yield_WACC-RAD (2)_THEsumPage (2)_LANCE_Model_v0.6.DCF.MASTER.Name_Tootsie_TWO_DAY_TTS_Solution_v1.34" xfId="140" xr:uid="{00000000-0005-0000-0000-00008C000000}"/>
    <cellStyle name="data" xfId="141" xr:uid="{00000000-0005-0000-0000-00008D000000}"/>
    <cellStyle name="Date" xfId="142" xr:uid="{00000000-0005-0000-0000-00008E000000}"/>
    <cellStyle name="Dollars" xfId="143" xr:uid="{00000000-0005-0000-0000-00008F000000}"/>
    <cellStyle name="Dollars []" xfId="144" xr:uid="{00000000-0005-0000-0000-000090000000}"/>
    <cellStyle name="Dollars_LANCE_Model_v0.6.DCF.MASTER.Name" xfId="145" xr:uid="{00000000-0005-0000-0000-000091000000}"/>
    <cellStyle name="eps" xfId="146" xr:uid="{00000000-0005-0000-0000-000092000000}"/>
    <cellStyle name="eps$" xfId="147" xr:uid="{00000000-0005-0000-0000-000093000000}"/>
    <cellStyle name="eps$A" xfId="148" xr:uid="{00000000-0005-0000-0000-000094000000}"/>
    <cellStyle name="eps$E" xfId="149" xr:uid="{00000000-0005-0000-0000-000095000000}"/>
    <cellStyle name="epsA" xfId="150" xr:uid="{00000000-0005-0000-0000-000097000000}"/>
    <cellStyle name="epsE" xfId="151" xr:uid="{00000000-0005-0000-0000-000098000000}"/>
    <cellStyle name="Euro" xfId="152" xr:uid="{00000000-0005-0000-0000-000099000000}"/>
    <cellStyle name="Euro-" xfId="153" xr:uid="{00000000-0005-0000-0000-00009A000000}"/>
    <cellStyle name="ExternalFormula" xfId="154" xr:uid="{00000000-0005-0000-0000-00009B000000}"/>
    <cellStyle name="Fit" xfId="155" xr:uid="{00000000-0005-0000-0000-00009C000000}"/>
    <cellStyle name="fy_eps$" xfId="156" xr:uid="{00000000-0005-0000-0000-00009D000000}"/>
    <cellStyle name="g_rate" xfId="157" xr:uid="{00000000-0005-0000-0000-00009E000000}"/>
    <cellStyle name="g_rate_AVP" xfId="158" xr:uid="{00000000-0005-0000-0000-00009F000000}"/>
    <cellStyle name="g_rate_AVP_Graphic Depiction - NO DEV" xfId="159" xr:uid="{00000000-0005-0000-0000-0000A0000000}"/>
    <cellStyle name="g_rate_AVP_THEsumPage (2)" xfId="160" xr:uid="{00000000-0005-0000-0000-0000A1000000}"/>
    <cellStyle name="g_rate_CompSheet" xfId="161" xr:uid="{00000000-0005-0000-0000-0000A2000000}"/>
    <cellStyle name="g_rate_CompSheet_LANCE_Model_v0.6.DCF.MASTER.Name" xfId="162" xr:uid="{00000000-0005-0000-0000-0000A3000000}"/>
    <cellStyle name="g_rate_CompSheet_LANCE_Model_v0.6.DCF.MASTER.Name_Tootsie_TWO_DAY_TTS_Solution_v1.34" xfId="163" xr:uid="{00000000-0005-0000-0000-0000A4000000}"/>
    <cellStyle name="g_rate_Disc Analysis" xfId="164" xr:uid="{00000000-0005-0000-0000-0000A5000000}"/>
    <cellStyle name="g_rate_Disc Analysis_CompSheet" xfId="165" xr:uid="{00000000-0005-0000-0000-0000A6000000}"/>
    <cellStyle name="g_rate_Disc Analysis_THEsumPage (2)" xfId="166" xr:uid="{00000000-0005-0000-0000-0000A7000000}"/>
    <cellStyle name="g_rate_Fairness Opinion Valuation 4-23a.xls Chart 1" xfId="167" xr:uid="{00000000-0005-0000-0000-0000A8000000}"/>
    <cellStyle name="g_rate_Fairness Opinion Valuation 4-23a.xls Chart 1_LANCE_Model_v0.6.DCF.MASTER.Name" xfId="168" xr:uid="{00000000-0005-0000-0000-0000A9000000}"/>
    <cellStyle name="g_rate_Fairness Opinion Valuation 4-23a.xls Chart 1_LANCE_Model_v0.6.DCF.MASTER.Name_Tootsie_TWO_DAY_TTS_Solution_v1.34" xfId="169" xr:uid="{00000000-0005-0000-0000-0000AA000000}"/>
    <cellStyle name="g_rate_LP Chart" xfId="170" xr:uid="{00000000-0005-0000-0000-0000AB000000}"/>
    <cellStyle name="g_rate_LP Chart_THEsumPage (2)" xfId="171" xr:uid="{00000000-0005-0000-0000-0000AC000000}"/>
    <cellStyle name="g_rate_Merg Cons" xfId="172" xr:uid="{00000000-0005-0000-0000-0000AD000000}"/>
    <cellStyle name="g_rate_Merg Cons_CompSheet" xfId="173" xr:uid="{00000000-0005-0000-0000-0000AE000000}"/>
    <cellStyle name="g_rate_Merg Cons_THEsumPage (2)" xfId="174" xr:uid="{00000000-0005-0000-0000-0000AF000000}"/>
    <cellStyle name="g_rate_PowerValuation.xls Chart 21" xfId="175" xr:uid="{00000000-0005-0000-0000-0000B0000000}"/>
    <cellStyle name="g_rate_PowerValuation.xls Chart 21_LANCE_Model_v0.6.DCF.MASTER.Name" xfId="176" xr:uid="{00000000-0005-0000-0000-0000B1000000}"/>
    <cellStyle name="g_rate_PowerValuation.xls Chart 21_LANCE_Model_v0.6.DCF.MASTER.Name_Tootsie_TWO_DAY_TTS_Solution_v1.34" xfId="177" xr:uid="{00000000-0005-0000-0000-0000B2000000}"/>
    <cellStyle name="g_rate_PowerValuation.xls Chart 28" xfId="178" xr:uid="{00000000-0005-0000-0000-0000B3000000}"/>
    <cellStyle name="g_rate_PowerValuation.xls Chart 28_LANCE_Model_v0.6.DCF.MASTER.Name" xfId="179" xr:uid="{00000000-0005-0000-0000-0000B4000000}"/>
    <cellStyle name="g_rate_PowerValuation.xls Chart 28_LANCE_Model_v0.6.DCF.MASTER.Name_Tootsie_TWO_DAY_TTS_Solution_v1.34" xfId="180" xr:uid="{00000000-0005-0000-0000-0000B5000000}"/>
    <cellStyle name="g_rate_Proj10" xfId="181" xr:uid="{00000000-0005-0000-0000-0000B6000000}"/>
    <cellStyle name="g_rate_Proj10_AVP" xfId="182" xr:uid="{00000000-0005-0000-0000-0000B7000000}"/>
    <cellStyle name="g_rate_Proj10_AVP_Graphic Depiction - NO DEV" xfId="183" xr:uid="{00000000-0005-0000-0000-0000B8000000}"/>
    <cellStyle name="g_rate_Proj10_AVP_THEsumPage (2)" xfId="184" xr:uid="{00000000-0005-0000-0000-0000B9000000}"/>
    <cellStyle name="g_rate_Proj10_CompSheet" xfId="185" xr:uid="{00000000-0005-0000-0000-0000BA000000}"/>
    <cellStyle name="g_rate_Proj10_CompSheet_LANCE_Model_v0.6.DCF.MASTER.Name" xfId="186" xr:uid="{00000000-0005-0000-0000-0000BB000000}"/>
    <cellStyle name="g_rate_Proj10_CompSheet_LANCE_Model_v0.6.DCF.MASTER.Name_Tootsie_TWO_DAY_TTS_Solution_v1.34" xfId="187" xr:uid="{00000000-0005-0000-0000-0000BC000000}"/>
    <cellStyle name="g_rate_Proj10_Disc Analysis" xfId="188" xr:uid="{00000000-0005-0000-0000-0000BD000000}"/>
    <cellStyle name="g_rate_Proj10_Disc Analysis_CompSheet" xfId="189" xr:uid="{00000000-0005-0000-0000-0000BE000000}"/>
    <cellStyle name="g_rate_Proj10_Disc Analysis_THEsumPage (2)" xfId="190" xr:uid="{00000000-0005-0000-0000-0000BF000000}"/>
    <cellStyle name="g_rate_Proj10_Fairness Opinion Valuation 4-23a.xls Chart 1" xfId="191" xr:uid="{00000000-0005-0000-0000-0000C0000000}"/>
    <cellStyle name="g_rate_Proj10_Fairness Opinion Valuation 4-23a.xls Chart 1_LANCE_Model_v0.6.DCF.MASTER.Name" xfId="192" xr:uid="{00000000-0005-0000-0000-0000C1000000}"/>
    <cellStyle name="g_rate_Proj10_Fairness Opinion Valuation 4-23a.xls Chart 1_LANCE_Model_v0.6.DCF.MASTER.Name_Tootsie_TWO_DAY_TTS_Solution_v1.34" xfId="193" xr:uid="{00000000-0005-0000-0000-0000C2000000}"/>
    <cellStyle name="g_rate_Proj10_LP Chart" xfId="194" xr:uid="{00000000-0005-0000-0000-0000C3000000}"/>
    <cellStyle name="g_rate_Proj10_LP Chart_THEsumPage (2)" xfId="195" xr:uid="{00000000-0005-0000-0000-0000C4000000}"/>
    <cellStyle name="g_rate_Proj10_Merg Cons" xfId="196" xr:uid="{00000000-0005-0000-0000-0000C5000000}"/>
    <cellStyle name="g_rate_Proj10_Merg Cons_CompSheet" xfId="197" xr:uid="{00000000-0005-0000-0000-0000C6000000}"/>
    <cellStyle name="g_rate_Proj10_Merg Cons_THEsumPage (2)" xfId="198" xr:uid="{00000000-0005-0000-0000-0000C7000000}"/>
    <cellStyle name="g_rate_Proj10_PowerValuation.xls Chart 21" xfId="199" xr:uid="{00000000-0005-0000-0000-0000C8000000}"/>
    <cellStyle name="g_rate_Proj10_PowerValuation.xls Chart 21_LANCE_Model_v0.6.DCF.MASTER.Name" xfId="200" xr:uid="{00000000-0005-0000-0000-0000C9000000}"/>
    <cellStyle name="g_rate_Proj10_PowerValuation.xls Chart 21_LANCE_Model_v0.6.DCF.MASTER.Name_Tootsie_TWO_DAY_TTS_Solution_v1.34" xfId="201" xr:uid="{00000000-0005-0000-0000-0000CA000000}"/>
    <cellStyle name="g_rate_Proj10_PowerValuation.xls Chart 28" xfId="202" xr:uid="{00000000-0005-0000-0000-0000CB000000}"/>
    <cellStyle name="g_rate_Proj10_PowerValuation.xls Chart 28_LANCE_Model_v0.6.DCF.MASTER.Name" xfId="203" xr:uid="{00000000-0005-0000-0000-0000CC000000}"/>
    <cellStyle name="g_rate_Proj10_PowerValuation.xls Chart 28_LANCE_Model_v0.6.DCF.MASTER.Name_Tootsie_TWO_DAY_TTS_Solution_v1.34" xfId="204" xr:uid="{00000000-0005-0000-0000-0000CD000000}"/>
    <cellStyle name="g_rate_Proj10_Sensitivity" xfId="205" xr:uid="{00000000-0005-0000-0000-0000CE000000}"/>
    <cellStyle name="g_rate_Proj10_Sensitivity_CompSheet" xfId="206" xr:uid="{00000000-0005-0000-0000-0000CF000000}"/>
    <cellStyle name="g_rate_Proj10_Sensitivity_THEsumPage (2)" xfId="207" xr:uid="{00000000-0005-0000-0000-0000D0000000}"/>
    <cellStyle name="g_rate_Proj10_show-hold" xfId="208" xr:uid="{00000000-0005-0000-0000-0000D1000000}"/>
    <cellStyle name="g_rate_Proj10_show-hold_Graphic Depiction - NO DEV" xfId="209" xr:uid="{00000000-0005-0000-0000-0000D2000000}"/>
    <cellStyle name="g_rate_Proj10_show-hold_THEsumPage (2)" xfId="210" xr:uid="{00000000-0005-0000-0000-0000D3000000}"/>
    <cellStyle name="g_rate_Proj10_THEsumPage (2)" xfId="211" xr:uid="{00000000-0005-0000-0000-0000D4000000}"/>
    <cellStyle name="g_rate_Proj10_THEsumPage (2)_LANCE_Model_v0.6.DCF.MASTER.Name" xfId="212" xr:uid="{00000000-0005-0000-0000-0000D5000000}"/>
    <cellStyle name="g_rate_Proj10_THEsumPage (2)_LANCE_Model_v0.6.DCF.MASTER.Name_Tootsie_TWO_DAY_TTS_Solution_v1.34" xfId="213" xr:uid="{00000000-0005-0000-0000-0000D6000000}"/>
    <cellStyle name="g_rate_Proj10_Valuation summaries" xfId="214" xr:uid="{00000000-0005-0000-0000-0000D7000000}"/>
    <cellStyle name="g_rate_Proj10_Valuation summaries_LANCE_Model_v0.6.DCF.MASTER.Name" xfId="215" xr:uid="{00000000-0005-0000-0000-0000D8000000}"/>
    <cellStyle name="g_rate_Proj10_Valuation summaries_LANCE_Model_v0.6.DCF.MASTER.Name_Tootsie_TWO_DAY_TTS_Solution_v1.34" xfId="216" xr:uid="{00000000-0005-0000-0000-0000D9000000}"/>
    <cellStyle name="g_rate_Proj10_WACC-CableCar" xfId="217" xr:uid="{00000000-0005-0000-0000-0000DA000000}"/>
    <cellStyle name="g_rate_Proj10_WACC-CableCar_LANCE_Model_v0.6.DCF.MASTER.Name" xfId="218" xr:uid="{00000000-0005-0000-0000-0000DB000000}"/>
    <cellStyle name="g_rate_Proj10_WACC-CableCar_LANCE_Model_v0.6.DCF.MASTER.Name_Tootsie_TWO_DAY_TTS_Solution_v1.34" xfId="219" xr:uid="{00000000-0005-0000-0000-0000DC000000}"/>
    <cellStyle name="g_rate_Proj10_WACC-CableCar_THEsumPage (2)" xfId="220" xr:uid="{00000000-0005-0000-0000-0000DD000000}"/>
    <cellStyle name="g_rate_Proj10_WACC-CableCar_THEsumPage (2)_LANCE_Model_v0.6.DCF.MASTER.Name" xfId="221" xr:uid="{00000000-0005-0000-0000-0000DE000000}"/>
    <cellStyle name="g_rate_Proj10_WACC-CableCar_THEsumPage (2)_LANCE_Model_v0.6.DCF.MASTER.Name_Tootsie_TWO_DAY_TTS_Solution_v1.34" xfId="222" xr:uid="{00000000-0005-0000-0000-0000DF000000}"/>
    <cellStyle name="g_rate_Proj10_WACC-RAD (2)" xfId="223" xr:uid="{00000000-0005-0000-0000-0000E0000000}"/>
    <cellStyle name="g_rate_Proj10_WACC-RAD (2)_THEsumPage (2)" xfId="224" xr:uid="{00000000-0005-0000-0000-0000E1000000}"/>
    <cellStyle name="g_rate_Sensitivity" xfId="225" xr:uid="{00000000-0005-0000-0000-0000E2000000}"/>
    <cellStyle name="g_rate_Sensitivity_CompSheet" xfId="226" xr:uid="{00000000-0005-0000-0000-0000E3000000}"/>
    <cellStyle name="g_rate_Sensitivity_THEsumPage (2)" xfId="227" xr:uid="{00000000-0005-0000-0000-0000E4000000}"/>
    <cellStyle name="g_rate_show-hold" xfId="228" xr:uid="{00000000-0005-0000-0000-0000E5000000}"/>
    <cellStyle name="g_rate_show-hold_CompSheet" xfId="229" xr:uid="{00000000-0005-0000-0000-0000E6000000}"/>
    <cellStyle name="g_rate_show-hold_THEsumPage (2)" xfId="230" xr:uid="{00000000-0005-0000-0000-0000E7000000}"/>
    <cellStyle name="g_rate_THEsumPage (2)" xfId="231" xr:uid="{00000000-0005-0000-0000-0000E8000000}"/>
    <cellStyle name="g_rate_THEsumPage (2)_LANCE_Model_v0.6.DCF.MASTER.Name" xfId="232" xr:uid="{00000000-0005-0000-0000-0000E9000000}"/>
    <cellStyle name="g_rate_THEsumPage (2)_LANCE_Model_v0.6.DCF.MASTER.Name_Tootsie_TWO_DAY_TTS_Solution_v1.34" xfId="233" xr:uid="{00000000-0005-0000-0000-0000EA000000}"/>
    <cellStyle name="g_rate_Valuation summaries" xfId="234" xr:uid="{00000000-0005-0000-0000-0000EB000000}"/>
    <cellStyle name="g_rate_Valuation summaries_LANCE_Model_v0.6.DCF.MASTER.Name" xfId="235" xr:uid="{00000000-0005-0000-0000-0000EC000000}"/>
    <cellStyle name="g_rate_Valuation summaries_LANCE_Model_v0.6.DCF.MASTER.Name_Tootsie_TWO_DAY_TTS_Solution_v1.34" xfId="236" xr:uid="{00000000-0005-0000-0000-0000ED000000}"/>
    <cellStyle name="g_rate_WACC-CableCar" xfId="237" xr:uid="{00000000-0005-0000-0000-0000EE000000}"/>
    <cellStyle name="g_rate_WACC-CableCar_LANCE_Model_v0.6.DCF.MASTER.Name" xfId="238" xr:uid="{00000000-0005-0000-0000-0000EF000000}"/>
    <cellStyle name="g_rate_WACC-CableCar_LANCE_Model_v0.6.DCF.MASTER.Name_Tootsie_TWO_DAY_TTS_Solution_v1.34" xfId="239" xr:uid="{00000000-0005-0000-0000-0000F0000000}"/>
    <cellStyle name="g_rate_WACC-CableCar_THEsumPage (2)" xfId="240" xr:uid="{00000000-0005-0000-0000-0000F1000000}"/>
    <cellStyle name="g_rate_WACC-CableCar_THEsumPage (2)_LANCE_Model_v0.6.DCF.MASTER.Name" xfId="241" xr:uid="{00000000-0005-0000-0000-0000F2000000}"/>
    <cellStyle name="g_rate_WACC-CableCar_THEsumPage (2)_LANCE_Model_v0.6.DCF.MASTER.Name_Tootsie_TWO_DAY_TTS_Solution_v1.34" xfId="242" xr:uid="{00000000-0005-0000-0000-0000F3000000}"/>
    <cellStyle name="g_rate_WACC-RAD (2)" xfId="243" xr:uid="{00000000-0005-0000-0000-0000F4000000}"/>
    <cellStyle name="g_rate_WACC-RAD (2)_THEsumPage (2)" xfId="244" xr:uid="{00000000-0005-0000-0000-0000F5000000}"/>
    <cellStyle name="headers" xfId="245" xr:uid="{00000000-0005-0000-0000-0000F6000000}"/>
    <cellStyle name="Heading" xfId="246" xr:uid="{00000000-0005-0000-0000-0000F7000000}"/>
    <cellStyle name="imput" xfId="247" xr:uid="{00000000-0005-0000-0000-0000F8000000}"/>
    <cellStyle name="Input" xfId="248" builtinId="20" customBuiltin="1"/>
    <cellStyle name="Line" xfId="249" xr:uid="{00000000-0005-0000-0000-0000FA000000}"/>
    <cellStyle name="locked" xfId="250" xr:uid="{00000000-0005-0000-0000-0000FB000000}"/>
    <cellStyle name="m" xfId="251" xr:uid="{00000000-0005-0000-0000-0000FC000000}"/>
    <cellStyle name="m_AVP" xfId="254" xr:uid="{00000000-0005-0000-0000-0000FF000000}"/>
    <cellStyle name="m_AVP_LANCE_Model_v0.6.DCF.MASTER.Name" xfId="255" xr:uid="{00000000-0005-0000-0000-000000010000}"/>
    <cellStyle name="m_AVP_LANCE_Model_v0.6.DCF.MASTER.Name_Tootsie_TWO_DAY_TTS_Solution_v1.34" xfId="256" xr:uid="{00000000-0005-0000-0000-000001010000}"/>
    <cellStyle name="m_Disc Analysis" xfId="257" xr:uid="{00000000-0005-0000-0000-000002010000}"/>
    <cellStyle name="m_Disc Analysis_LANCE_Model_v0.6.DCF.MASTER.Name" xfId="258" xr:uid="{00000000-0005-0000-0000-000003010000}"/>
    <cellStyle name="m_Disc Analysis_LANCE_Model_v0.6.DCF.MASTER.Name_Tootsie_TWO_DAY_TTS_Solution_v1.34" xfId="259" xr:uid="{00000000-0005-0000-0000-000004010000}"/>
    <cellStyle name="m_LANCE_Model_v0.6.DCF.MASTER.Name" xfId="260" xr:uid="{00000000-0005-0000-0000-000005010000}"/>
    <cellStyle name="m_LANCE_Model_v0.6.DCF.MASTER.Name_Tootsie_TWO_DAY_TTS_Solution_v1.34" xfId="261" xr:uid="{00000000-0005-0000-0000-000006010000}"/>
    <cellStyle name="m_LP Chart" xfId="262" xr:uid="{00000000-0005-0000-0000-000007010000}"/>
    <cellStyle name="m_LP Chart_LANCE_Model_v0.6.DCF.MASTER.Name" xfId="263" xr:uid="{00000000-0005-0000-0000-000008010000}"/>
    <cellStyle name="m_LP Chart_LANCE_Model_v0.6.DCF.MASTER.Name_Tootsie_TWO_DAY_TTS_Solution_v1.34" xfId="264" xr:uid="{00000000-0005-0000-0000-000009010000}"/>
    <cellStyle name="m_Merg Cons" xfId="265" xr:uid="{00000000-0005-0000-0000-00000A010000}"/>
    <cellStyle name="m_Merg Cons_LANCE_Model_v0.6.DCF.MASTER.Name" xfId="266" xr:uid="{00000000-0005-0000-0000-00000B010000}"/>
    <cellStyle name="m_Merg Cons_LANCE_Model_v0.6.DCF.MASTER.Name_Tootsie_TWO_DAY_TTS_Solution_v1.34" xfId="267" xr:uid="{00000000-0005-0000-0000-00000C010000}"/>
    <cellStyle name="m_Proj10" xfId="268" xr:uid="{00000000-0005-0000-0000-00000D010000}"/>
    <cellStyle name="m_Proj10_AVP" xfId="269" xr:uid="{00000000-0005-0000-0000-00000E010000}"/>
    <cellStyle name="m_Proj10_AVP_LANCE_Model_v0.6.DCF.MASTER.Name" xfId="270" xr:uid="{00000000-0005-0000-0000-00000F010000}"/>
    <cellStyle name="m_Proj10_AVP_LANCE_Model_v0.6.DCF.MASTER.Name_Tootsie_TWO_DAY_TTS_Solution_v1.34" xfId="271" xr:uid="{00000000-0005-0000-0000-000010010000}"/>
    <cellStyle name="m_Proj10_Disc Analysis" xfId="272" xr:uid="{00000000-0005-0000-0000-000011010000}"/>
    <cellStyle name="m_Proj10_Disc Analysis_LANCE_Model_v0.6.DCF.MASTER.Name" xfId="273" xr:uid="{00000000-0005-0000-0000-000012010000}"/>
    <cellStyle name="m_Proj10_Disc Analysis_LANCE_Model_v0.6.DCF.MASTER.Name_Tootsie_TWO_DAY_TTS_Solution_v1.34" xfId="274" xr:uid="{00000000-0005-0000-0000-000013010000}"/>
    <cellStyle name="m_Proj10_LANCE_Model_v0.6.DCF.MASTER.Name" xfId="275" xr:uid="{00000000-0005-0000-0000-000014010000}"/>
    <cellStyle name="m_Proj10_LANCE_Model_v0.6.DCF.MASTER.Name_Tootsie_TWO_DAY_TTS_Solution_v1.34" xfId="276" xr:uid="{00000000-0005-0000-0000-000015010000}"/>
    <cellStyle name="m_Proj10_LP Chart" xfId="277" xr:uid="{00000000-0005-0000-0000-000016010000}"/>
    <cellStyle name="m_Proj10_LP Chart_LANCE_Model_v0.6.DCF.MASTER.Name" xfId="278" xr:uid="{00000000-0005-0000-0000-000017010000}"/>
    <cellStyle name="m_Proj10_LP Chart_LANCE_Model_v0.6.DCF.MASTER.Name_Tootsie_TWO_DAY_TTS_Solution_v1.34" xfId="279" xr:uid="{00000000-0005-0000-0000-000018010000}"/>
    <cellStyle name="m_Proj10_Merg Cons" xfId="280" xr:uid="{00000000-0005-0000-0000-000019010000}"/>
    <cellStyle name="m_Proj10_Merg Cons_LANCE_Model_v0.6.DCF.MASTER.Name" xfId="281" xr:uid="{00000000-0005-0000-0000-00001A010000}"/>
    <cellStyle name="m_Proj10_Merg Cons_LANCE_Model_v0.6.DCF.MASTER.Name_Tootsie_TWO_DAY_TTS_Solution_v1.34" xfId="282" xr:uid="{00000000-0005-0000-0000-00001B010000}"/>
    <cellStyle name="m_Proj10_Sensitivity" xfId="283" xr:uid="{00000000-0005-0000-0000-00001C010000}"/>
    <cellStyle name="m_Proj10_Sensitivity_LANCE_Model_v0.6.DCF.MASTER.Name" xfId="284" xr:uid="{00000000-0005-0000-0000-00001D010000}"/>
    <cellStyle name="m_Proj10_Sensitivity_LANCE_Model_v0.6.DCF.MASTER.Name_Tootsie_TWO_DAY_TTS_Solution_v1.34" xfId="285" xr:uid="{00000000-0005-0000-0000-00001E010000}"/>
    <cellStyle name="m_Proj10_show-hold" xfId="286" xr:uid="{00000000-0005-0000-0000-00001F010000}"/>
    <cellStyle name="m_Proj10_show-hold_LANCE_Model_v0.6.DCF.MASTER.Name" xfId="287" xr:uid="{00000000-0005-0000-0000-000020010000}"/>
    <cellStyle name="m_Proj10_show-hold_LANCE_Model_v0.6.DCF.MASTER.Name_Tootsie_TWO_DAY_TTS_Solution_v1.34" xfId="288" xr:uid="{00000000-0005-0000-0000-000021010000}"/>
    <cellStyle name="m_Proj10_WACC-CableCar" xfId="289" xr:uid="{00000000-0005-0000-0000-000022010000}"/>
    <cellStyle name="m_Proj10_WACC-CableCar_LANCE_Model_v0.6.DCF.MASTER.Name" xfId="290" xr:uid="{00000000-0005-0000-0000-000023010000}"/>
    <cellStyle name="m_Proj10_WACC-CableCar_LANCE_Model_v0.6.DCF.MASTER.Name_Tootsie_TWO_DAY_TTS_Solution_v1.34" xfId="291" xr:uid="{00000000-0005-0000-0000-000024010000}"/>
    <cellStyle name="m_Proj10_WACC-RAD (2)" xfId="292" xr:uid="{00000000-0005-0000-0000-000025010000}"/>
    <cellStyle name="m_Proj10_WACC-RAD (2)_LANCE_Model_v0.6.DCF.MASTER.Name" xfId="293" xr:uid="{00000000-0005-0000-0000-000026010000}"/>
    <cellStyle name="m_Proj10_WACC-RAD (2)_LANCE_Model_v0.6.DCF.MASTER.Name_Tootsie_TWO_DAY_TTS_Solution_v1.34" xfId="294" xr:uid="{00000000-0005-0000-0000-000027010000}"/>
    <cellStyle name="m_Sensitivity" xfId="295" xr:uid="{00000000-0005-0000-0000-000028010000}"/>
    <cellStyle name="m_Sensitivity_LANCE_Model_v0.6.DCF.MASTER.Name" xfId="296" xr:uid="{00000000-0005-0000-0000-000029010000}"/>
    <cellStyle name="m_Sensitivity_LANCE_Model_v0.6.DCF.MASTER.Name_Tootsie_TWO_DAY_TTS_Solution_v1.34" xfId="297" xr:uid="{00000000-0005-0000-0000-00002A010000}"/>
    <cellStyle name="m_show-hold" xfId="298" xr:uid="{00000000-0005-0000-0000-00002B010000}"/>
    <cellStyle name="m_show-hold_LANCE_Model_v0.6.DCF.MASTER.Name" xfId="299" xr:uid="{00000000-0005-0000-0000-00002C010000}"/>
    <cellStyle name="m_show-hold_LANCE_Model_v0.6.DCF.MASTER.Name_Tootsie_TWO_DAY_TTS_Solution_v1.34" xfId="300" xr:uid="{00000000-0005-0000-0000-00002D010000}"/>
    <cellStyle name="m_WACC-CableCar" xfId="301" xr:uid="{00000000-0005-0000-0000-00002E010000}"/>
    <cellStyle name="m_WACC-CableCar_LANCE_Model_v0.6.DCF.MASTER.Name" xfId="302" xr:uid="{00000000-0005-0000-0000-00002F010000}"/>
    <cellStyle name="m_WACC-CableCar_LANCE_Model_v0.6.DCF.MASTER.Name_Tootsie_TWO_DAY_TTS_Solution_v1.34" xfId="303" xr:uid="{00000000-0005-0000-0000-000030010000}"/>
    <cellStyle name="m_WACC-RAD (2)" xfId="304" xr:uid="{00000000-0005-0000-0000-000031010000}"/>
    <cellStyle name="m_WACC-RAD (2)_LANCE_Model_v0.6.DCF.MASTER.Name" xfId="305" xr:uid="{00000000-0005-0000-0000-000032010000}"/>
    <cellStyle name="m_WACC-RAD (2)_LANCE_Model_v0.6.DCF.MASTER.Name_Tootsie_TWO_DAY_TTS_Solution_v1.34" xfId="306" xr:uid="{00000000-0005-0000-0000-000033010000}"/>
    <cellStyle name="m&amp;a" xfId="253" xr:uid="{00000000-0005-0000-0000-0000FE000000}"/>
    <cellStyle name="m$" xfId="252" xr:uid="{00000000-0005-0000-0000-0000FD000000}"/>
    <cellStyle name="Map Labels" xfId="307" xr:uid="{00000000-0005-0000-0000-000034010000}"/>
    <cellStyle name="Map Legend" xfId="308" xr:uid="{00000000-0005-0000-0000-000035010000}"/>
    <cellStyle name="Merrill" xfId="309" xr:uid="{00000000-0005-0000-0000-000036010000}"/>
    <cellStyle name="Mix" xfId="310" xr:uid="{00000000-0005-0000-0000-000037010000}"/>
    <cellStyle name="mm" xfId="311" xr:uid="{00000000-0005-0000-0000-000038010000}"/>
    <cellStyle name="mult" xfId="312" xr:uid="{00000000-0005-0000-0000-000039010000}"/>
    <cellStyle name="Multiple" xfId="313" xr:uid="{00000000-0005-0000-0000-00003A010000}"/>
    <cellStyle name="Multiple []" xfId="314" xr:uid="{00000000-0005-0000-0000-00003B010000}"/>
    <cellStyle name="Multiple [0]" xfId="315" xr:uid="{00000000-0005-0000-0000-00003C010000}"/>
    <cellStyle name="Multiple [0] []" xfId="316" xr:uid="{00000000-0005-0000-0000-00003D010000}"/>
    <cellStyle name="Multiple [0]_LANCE_Model_v0.6.DCF.MASTER.Name" xfId="317" xr:uid="{00000000-0005-0000-0000-00003E010000}"/>
    <cellStyle name="Multiple [1]" xfId="318" xr:uid="{00000000-0005-0000-0000-00003F010000}"/>
    <cellStyle name="Multiple [1] []" xfId="319" xr:uid="{00000000-0005-0000-0000-000040010000}"/>
    <cellStyle name="Multiple [1]_LANCE_Model_v0.6.DCF.MASTER.Name" xfId="320" xr:uid="{00000000-0005-0000-0000-000041010000}"/>
    <cellStyle name="Multiple_CapitalSum" xfId="321" xr:uid="{00000000-0005-0000-0000-000042010000}"/>
    <cellStyle name="Normal" xfId="0" builtinId="0"/>
    <cellStyle name="Normal - Style1" xfId="322" xr:uid="{00000000-0005-0000-0000-000044010000}"/>
    <cellStyle name="Normal_ANF LBO Model v1.21" xfId="323" xr:uid="{00000000-0005-0000-0000-000045010000}"/>
    <cellStyle name="Normal_crr.proforma" xfId="324" xr:uid="{00000000-0005-0000-0000-000046010000}"/>
    <cellStyle name="Normal_Oakley_LBO_Model_SOLUTION_v1.1c" xfId="325" xr:uid="{00000000-0005-0000-0000-000047010000}"/>
    <cellStyle name="OSW_RowLabels" xfId="326" xr:uid="{00000000-0005-0000-0000-000048010000}"/>
    <cellStyle name="Page" xfId="327" xr:uid="{00000000-0005-0000-0000-000049010000}"/>
    <cellStyle name="Palatino" xfId="328" xr:uid="{00000000-0005-0000-0000-00004A010000}"/>
    <cellStyle name="pe" xfId="329" xr:uid="{00000000-0005-0000-0000-00004B010000}"/>
    <cellStyle name="PEG" xfId="330" xr:uid="{00000000-0005-0000-0000-00004C010000}"/>
    <cellStyle name="Percent" xfId="331" builtinId="5"/>
    <cellStyle name="Percent [0]" xfId="332" xr:uid="{00000000-0005-0000-0000-00004E010000}"/>
    <cellStyle name="Percent [1]" xfId="333" xr:uid="{00000000-0005-0000-0000-00004F010000}"/>
    <cellStyle name="Percent [1][]" xfId="334" xr:uid="{00000000-0005-0000-0000-000050010000}"/>
    <cellStyle name="Percent [2]" xfId="335" xr:uid="{00000000-0005-0000-0000-000052010000}"/>
    <cellStyle name="Percent Comma" xfId="336" xr:uid="{00000000-0005-0000-0000-000053010000}"/>
    <cellStyle name="price" xfId="337" xr:uid="{00000000-0005-0000-0000-000054010000}"/>
    <cellStyle name="q" xfId="338" xr:uid="{00000000-0005-0000-0000-000055010000}"/>
    <cellStyle name="q_AVP" xfId="339" xr:uid="{00000000-0005-0000-0000-000056010000}"/>
    <cellStyle name="q_AVP_Graphic Depiction - NO DEV" xfId="340" xr:uid="{00000000-0005-0000-0000-000057010000}"/>
    <cellStyle name="q_AVP_THEsumPage (2)" xfId="341" xr:uid="{00000000-0005-0000-0000-000058010000}"/>
    <cellStyle name="q_AVP_Valuation Summary Graphics" xfId="342" xr:uid="{00000000-0005-0000-0000-000059010000}"/>
    <cellStyle name="q_CompSheet" xfId="343" xr:uid="{00000000-0005-0000-0000-00005A010000}"/>
    <cellStyle name="q_Disc Analysis" xfId="344" xr:uid="{00000000-0005-0000-0000-00005B010000}"/>
    <cellStyle name="q_Disc Analysis_CompSheet" xfId="345" xr:uid="{00000000-0005-0000-0000-00005C010000}"/>
    <cellStyle name="q_Disc Analysis_Fairness Opinion Valuation 4-23a.xls Chart 1" xfId="346" xr:uid="{00000000-0005-0000-0000-00005D010000}"/>
    <cellStyle name="q_Disc Analysis_PowerValuation.xls Chart 21" xfId="347" xr:uid="{00000000-0005-0000-0000-00005E010000}"/>
    <cellStyle name="q_Disc Analysis_PowerValuation.xls Chart 28" xfId="348" xr:uid="{00000000-0005-0000-0000-00005F010000}"/>
    <cellStyle name="q_Disc Analysis_THEsumPage (2)" xfId="349" xr:uid="{00000000-0005-0000-0000-000060010000}"/>
    <cellStyle name="q_Disc Analysis_Valuation summaries" xfId="350" xr:uid="{00000000-0005-0000-0000-000061010000}"/>
    <cellStyle name="q_Fairness Opinion Valuation 4-23a.xls Chart 1" xfId="351" xr:uid="{00000000-0005-0000-0000-000062010000}"/>
    <cellStyle name="q_Merg Cons" xfId="352" xr:uid="{00000000-0005-0000-0000-000063010000}"/>
    <cellStyle name="q_Merg Cons_CompSheet" xfId="353" xr:uid="{00000000-0005-0000-0000-000064010000}"/>
    <cellStyle name="q_Merg Cons_Fairness Opinion Valuation 4-23a.xls Chart 1" xfId="354" xr:uid="{00000000-0005-0000-0000-000065010000}"/>
    <cellStyle name="q_Merg Cons_PowerValuation.xls Chart 21" xfId="355" xr:uid="{00000000-0005-0000-0000-000066010000}"/>
    <cellStyle name="q_Merg Cons_PowerValuation.xls Chart 28" xfId="356" xr:uid="{00000000-0005-0000-0000-000067010000}"/>
    <cellStyle name="q_Merg Cons_THEsumPage (2)" xfId="357" xr:uid="{00000000-0005-0000-0000-000068010000}"/>
    <cellStyle name="q_Merg Cons_Valuation summaries" xfId="358" xr:uid="{00000000-0005-0000-0000-000069010000}"/>
    <cellStyle name="q_PowerValuation.xls Chart 21" xfId="359" xr:uid="{00000000-0005-0000-0000-00006A010000}"/>
    <cellStyle name="q_PowerValuation.xls Chart 28" xfId="360" xr:uid="{00000000-0005-0000-0000-00006B010000}"/>
    <cellStyle name="q_Proj10" xfId="361" xr:uid="{00000000-0005-0000-0000-00006C010000}"/>
    <cellStyle name="q_Proj10_AVP" xfId="362" xr:uid="{00000000-0005-0000-0000-00006D010000}"/>
    <cellStyle name="q_Proj10_AVP_Graphic Depiction - NO DEV" xfId="363" xr:uid="{00000000-0005-0000-0000-00006E010000}"/>
    <cellStyle name="q_Proj10_AVP_THEsumPage (2)" xfId="364" xr:uid="{00000000-0005-0000-0000-00006F010000}"/>
    <cellStyle name="q_Proj10_AVP_Valuation Summary Graphics" xfId="365" xr:uid="{00000000-0005-0000-0000-000070010000}"/>
    <cellStyle name="q_Proj10_CompSheet" xfId="366" xr:uid="{00000000-0005-0000-0000-000071010000}"/>
    <cellStyle name="q_Proj10_Disc Analysis" xfId="367" xr:uid="{00000000-0005-0000-0000-000072010000}"/>
    <cellStyle name="q_Proj10_Disc Analysis_CompSheet" xfId="368" xr:uid="{00000000-0005-0000-0000-000073010000}"/>
    <cellStyle name="q_Proj10_Disc Analysis_Fairness Opinion Valuation 4-23a.xls Chart 1" xfId="369" xr:uid="{00000000-0005-0000-0000-000074010000}"/>
    <cellStyle name="q_Proj10_Disc Analysis_PowerValuation.xls Chart 21" xfId="370" xr:uid="{00000000-0005-0000-0000-000075010000}"/>
    <cellStyle name="q_Proj10_Disc Analysis_PowerValuation.xls Chart 28" xfId="371" xr:uid="{00000000-0005-0000-0000-000076010000}"/>
    <cellStyle name="q_Proj10_Disc Analysis_THEsumPage (2)" xfId="372" xr:uid="{00000000-0005-0000-0000-000077010000}"/>
    <cellStyle name="q_Proj10_Disc Analysis_Valuation summaries" xfId="373" xr:uid="{00000000-0005-0000-0000-000078010000}"/>
    <cellStyle name="q_Proj10_Fairness Opinion Valuation 4-23a.xls Chart 1" xfId="374" xr:uid="{00000000-0005-0000-0000-000079010000}"/>
    <cellStyle name="q_Proj10_Merg Cons" xfId="375" xr:uid="{00000000-0005-0000-0000-00007A010000}"/>
    <cellStyle name="q_Proj10_Merg Cons_CompSheet" xfId="376" xr:uid="{00000000-0005-0000-0000-00007B010000}"/>
    <cellStyle name="q_Proj10_Merg Cons_Fairness Opinion Valuation 4-23a.xls Chart 1" xfId="377" xr:uid="{00000000-0005-0000-0000-00007C010000}"/>
    <cellStyle name="q_Proj10_Merg Cons_PowerValuation.xls Chart 21" xfId="378" xr:uid="{00000000-0005-0000-0000-00007D010000}"/>
    <cellStyle name="q_Proj10_Merg Cons_PowerValuation.xls Chart 28" xfId="379" xr:uid="{00000000-0005-0000-0000-00007E010000}"/>
    <cellStyle name="q_Proj10_Merg Cons_THEsumPage (2)" xfId="380" xr:uid="{00000000-0005-0000-0000-00007F010000}"/>
    <cellStyle name="q_Proj10_Merg Cons_Valuation summaries" xfId="381" xr:uid="{00000000-0005-0000-0000-000080010000}"/>
    <cellStyle name="q_Proj10_PowerValuation.xls Chart 21" xfId="382" xr:uid="{00000000-0005-0000-0000-000081010000}"/>
    <cellStyle name="q_Proj10_PowerValuation.xls Chart 28" xfId="383" xr:uid="{00000000-0005-0000-0000-000082010000}"/>
    <cellStyle name="q_Proj10_Sensitivity" xfId="384" xr:uid="{00000000-0005-0000-0000-000083010000}"/>
    <cellStyle name="q_Proj10_Sensitivity_CompSheet" xfId="385" xr:uid="{00000000-0005-0000-0000-000084010000}"/>
    <cellStyle name="q_Proj10_Sensitivity_Fairness Opinion Valuation 4-23a.xls Chart 1" xfId="386" xr:uid="{00000000-0005-0000-0000-000085010000}"/>
    <cellStyle name="q_Proj10_Sensitivity_PowerValuation.xls Chart 21" xfId="387" xr:uid="{00000000-0005-0000-0000-000086010000}"/>
    <cellStyle name="q_Proj10_Sensitivity_PowerValuation.xls Chart 28" xfId="388" xr:uid="{00000000-0005-0000-0000-000087010000}"/>
    <cellStyle name="q_Proj10_Sensitivity_THEsumPage (2)" xfId="389" xr:uid="{00000000-0005-0000-0000-000088010000}"/>
    <cellStyle name="q_Proj10_Sensitivity_Valuation summaries" xfId="390" xr:uid="{00000000-0005-0000-0000-000089010000}"/>
    <cellStyle name="q_Proj10_show-hold" xfId="391" xr:uid="{00000000-0005-0000-0000-00008A010000}"/>
    <cellStyle name="q_Proj10_show-hold_Graphic Depiction - NO DEV" xfId="392" xr:uid="{00000000-0005-0000-0000-00008B010000}"/>
    <cellStyle name="q_Proj10_show-hold_THEsumPage (2)" xfId="393" xr:uid="{00000000-0005-0000-0000-00008C010000}"/>
    <cellStyle name="q_Proj10_show-hold_Valuation Summary Graphics" xfId="394" xr:uid="{00000000-0005-0000-0000-00008D010000}"/>
    <cellStyle name="q_Proj10_THEsumPage (2)" xfId="395" xr:uid="{00000000-0005-0000-0000-00008E010000}"/>
    <cellStyle name="q_Proj10_Valuation summaries" xfId="396" xr:uid="{00000000-0005-0000-0000-00008F010000}"/>
    <cellStyle name="q_Proj10_WACC-CableCar" xfId="397" xr:uid="{00000000-0005-0000-0000-000090010000}"/>
    <cellStyle name="q_Proj10_WACC-CableCar_LANCE_Model_v0.6.DCF.MASTER.Name" xfId="398" xr:uid="{00000000-0005-0000-0000-000091010000}"/>
    <cellStyle name="q_Proj10_WACC-CableCar_LANCE_Model_v0.6.DCF.MASTER.Name_Key Info_WACC" xfId="399" xr:uid="{00000000-0005-0000-0000-000092010000}"/>
    <cellStyle name="q_Proj10_WACC-CableCar_LANCE_Model_v0.6.DCF.MASTER.Name_Tootsie_TWO_DAY_TTS_Solution_v1.34" xfId="400" xr:uid="{00000000-0005-0000-0000-000093010000}"/>
    <cellStyle name="q_Proj10_WACC-CableCar_THEsumPage (2)" xfId="401" xr:uid="{00000000-0005-0000-0000-000094010000}"/>
    <cellStyle name="q_Proj10_WACC-CableCar_THEsumPage (2)_LANCE_Model_v0.6.DCF.MASTER.Name" xfId="402" xr:uid="{00000000-0005-0000-0000-000095010000}"/>
    <cellStyle name="q_Proj10_WACC-CableCar_THEsumPage (2)_LANCE_Model_v0.6.DCF.MASTER.Name_Key Info_WACC" xfId="403" xr:uid="{00000000-0005-0000-0000-000096010000}"/>
    <cellStyle name="q_Proj10_WACC-CableCar_THEsumPage (2)_LANCE_Model_v0.6.DCF.MASTER.Name_Tootsie_TWO_DAY_TTS_Solution_v1.34" xfId="404" xr:uid="{00000000-0005-0000-0000-000097010000}"/>
    <cellStyle name="q_Sensitivity" xfId="405" xr:uid="{00000000-0005-0000-0000-000098010000}"/>
    <cellStyle name="q_Sensitivity_CompSheet" xfId="406" xr:uid="{00000000-0005-0000-0000-000099010000}"/>
    <cellStyle name="q_Sensitivity_Fairness Opinion Valuation 4-23a.xls Chart 1" xfId="407" xr:uid="{00000000-0005-0000-0000-00009A010000}"/>
    <cellStyle name="q_Sensitivity_PowerValuation.xls Chart 21" xfId="408" xr:uid="{00000000-0005-0000-0000-00009B010000}"/>
    <cellStyle name="q_Sensitivity_PowerValuation.xls Chart 28" xfId="409" xr:uid="{00000000-0005-0000-0000-00009C010000}"/>
    <cellStyle name="q_Sensitivity_THEsumPage (2)" xfId="410" xr:uid="{00000000-0005-0000-0000-00009D010000}"/>
    <cellStyle name="q_Sensitivity_Valuation summaries" xfId="411" xr:uid="{00000000-0005-0000-0000-00009E010000}"/>
    <cellStyle name="q_show-hold" xfId="412" xr:uid="{00000000-0005-0000-0000-00009F010000}"/>
    <cellStyle name="q_show-hold_CompSheet" xfId="413" xr:uid="{00000000-0005-0000-0000-0000A0010000}"/>
    <cellStyle name="q_show-hold_Fairness Opinion Valuation 4-23a.xls Chart 1" xfId="414" xr:uid="{00000000-0005-0000-0000-0000A1010000}"/>
    <cellStyle name="q_show-hold_PowerValuation.xls Chart 21" xfId="415" xr:uid="{00000000-0005-0000-0000-0000A2010000}"/>
    <cellStyle name="q_show-hold_PowerValuation.xls Chart 28" xfId="416" xr:uid="{00000000-0005-0000-0000-0000A3010000}"/>
    <cellStyle name="q_show-hold_THEsumPage (2)" xfId="417" xr:uid="{00000000-0005-0000-0000-0000A4010000}"/>
    <cellStyle name="q_show-hold_Valuation summaries" xfId="418" xr:uid="{00000000-0005-0000-0000-0000A5010000}"/>
    <cellStyle name="q_THEsumPage (2)" xfId="419" xr:uid="{00000000-0005-0000-0000-0000A6010000}"/>
    <cellStyle name="q_Valuation summaries" xfId="420" xr:uid="{00000000-0005-0000-0000-0000A7010000}"/>
    <cellStyle name="q_WACC-CableCar" xfId="421" xr:uid="{00000000-0005-0000-0000-0000A8010000}"/>
    <cellStyle name="q_WACC-CableCar_LANCE_Model_v0.6.DCF.MASTER.Name" xfId="422" xr:uid="{00000000-0005-0000-0000-0000A9010000}"/>
    <cellStyle name="q_WACC-CableCar_LANCE_Model_v0.6.DCF.MASTER.Name_Key Info_WACC" xfId="423" xr:uid="{00000000-0005-0000-0000-0000AA010000}"/>
    <cellStyle name="q_WACC-CableCar_LANCE_Model_v0.6.DCF.MASTER.Name_Tootsie_TWO_DAY_TTS_Solution_v1.34" xfId="424" xr:uid="{00000000-0005-0000-0000-0000AB010000}"/>
    <cellStyle name="q_WACC-CableCar_THEsumPage (2)" xfId="425" xr:uid="{00000000-0005-0000-0000-0000AC010000}"/>
    <cellStyle name="q_WACC-CableCar_THEsumPage (2)_LANCE_Model_v0.6.DCF.MASTER.Name" xfId="426" xr:uid="{00000000-0005-0000-0000-0000AD010000}"/>
    <cellStyle name="q_WACC-CableCar_THEsumPage (2)_LANCE_Model_v0.6.DCF.MASTER.Name_Key Info_WACC" xfId="427" xr:uid="{00000000-0005-0000-0000-0000AE010000}"/>
    <cellStyle name="q_WACC-CableCar_THEsumPage (2)_LANCE_Model_v0.6.DCF.MASTER.Name_Tootsie_TWO_DAY_TTS_Solution_v1.34" xfId="428" xr:uid="{00000000-0005-0000-0000-0000AF010000}"/>
    <cellStyle name="QEPS-h" xfId="429" xr:uid="{00000000-0005-0000-0000-0000B0010000}"/>
    <cellStyle name="QEPS-H1" xfId="430" xr:uid="{00000000-0005-0000-0000-0000B1010000}"/>
    <cellStyle name="qRange" xfId="431" xr:uid="{00000000-0005-0000-0000-0000B2010000}"/>
    <cellStyle name="r" xfId="432" xr:uid="{00000000-0005-0000-0000-0000B3010000}"/>
    <cellStyle name="range" xfId="433" xr:uid="{00000000-0005-0000-0000-0000B4010000}"/>
    <cellStyle name="rate" xfId="434" xr:uid="{00000000-0005-0000-0000-0000B5010000}"/>
    <cellStyle name="Ratio" xfId="435" xr:uid="{00000000-0005-0000-0000-0000B6010000}"/>
    <cellStyle name="Ratio Comma" xfId="436" xr:uid="{00000000-0005-0000-0000-0000B7010000}"/>
    <cellStyle name="Ratio_1 FM_101_Examples_v7.3 McIntire" xfId="437" xr:uid="{00000000-0005-0000-0000-0000B8010000}"/>
    <cellStyle name="Section" xfId="438" xr:uid="{00000000-0005-0000-0000-0000B9010000}"/>
    <cellStyle name="Stock Comma" xfId="439" xr:uid="{00000000-0005-0000-0000-0000BA010000}"/>
    <cellStyle name="Stock Price" xfId="440" xr:uid="{00000000-0005-0000-0000-0000BB010000}"/>
    <cellStyle name="Sum" xfId="441" xr:uid="{00000000-0005-0000-0000-0000BC010000}"/>
    <cellStyle name="Table_Header" xfId="442" xr:uid="{00000000-0005-0000-0000-0000BD010000}"/>
    <cellStyle name="tcn" xfId="443" xr:uid="{00000000-0005-0000-0000-0000BE010000}"/>
    <cellStyle name="Test" xfId="444" xr:uid="{00000000-0005-0000-0000-0000BF010000}"/>
    <cellStyle name="Time" xfId="445" xr:uid="{00000000-0005-0000-0000-0000C0010000}"/>
    <cellStyle name="Title" xfId="446" builtinId="15" customBuiltin="1"/>
    <cellStyle name="Title1" xfId="447" xr:uid="{00000000-0005-0000-0000-0000C2010000}"/>
    <cellStyle name="Title2" xfId="448" xr:uid="{00000000-0005-0000-0000-0000C3010000}"/>
    <cellStyle name="tn" xfId="449" xr:uid="{00000000-0005-0000-0000-0000C4010000}"/>
    <cellStyle name="Top Edge" xfId="450" xr:uid="{00000000-0005-0000-0000-0000C5010000}"/>
    <cellStyle name="ubordinated Debt" xfId="451" xr:uid="{00000000-0005-0000-0000-0000C6010000}"/>
    <cellStyle name="ValueConstant" xfId="452" xr:uid="{00000000-0005-0000-0000-0000C7010000}"/>
    <cellStyle name="wheat merger's and acquisitions" xfId="453" xr:uid="{00000000-0005-0000-0000-0000C8010000}"/>
    <cellStyle name="WorkbookFormula" xfId="454" xr:uid="{00000000-0005-0000-0000-0000C9010000}"/>
    <cellStyle name="Years" xfId="455" xr:uid="{00000000-0005-0000-0000-0000CA010000}"/>
    <cellStyle name="yellow" xfId="456" xr:uid="{00000000-0005-0000-0000-0000CB010000}"/>
  </cellStyles>
  <dxfs count="4"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FBFB7D"/>
      <color rgb="FF949494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117</xdr:row>
      <xdr:rowOff>0</xdr:rowOff>
    </xdr:from>
    <xdr:to>
      <xdr:col>22</xdr:col>
      <xdr:colOff>0</xdr:colOff>
      <xdr:row>128</xdr:row>
      <xdr:rowOff>0</xdr:rowOff>
    </xdr:to>
    <xdr:sp macro="" textlink="">
      <xdr:nvSpPr>
        <xdr:cNvPr id="1282" name="Rectangle 170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>
          <a:spLocks noChangeArrowheads="1"/>
        </xdr:cNvSpPr>
      </xdr:nvSpPr>
      <xdr:spPr bwMode="auto">
        <a:xfrm>
          <a:off x="11741150" y="19126200"/>
          <a:ext cx="3302000" cy="174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0</xdr:colOff>
      <xdr:row>117</xdr:row>
      <xdr:rowOff>0</xdr:rowOff>
    </xdr:from>
    <xdr:to>
      <xdr:col>18</xdr:col>
      <xdr:colOff>0</xdr:colOff>
      <xdr:row>128</xdr:row>
      <xdr:rowOff>0</xdr:rowOff>
    </xdr:to>
    <xdr:sp macro="" textlink="">
      <xdr:nvSpPr>
        <xdr:cNvPr id="1283" name="Rectangle 171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>
          <a:spLocks noChangeArrowheads="1"/>
        </xdr:cNvSpPr>
      </xdr:nvSpPr>
      <xdr:spPr bwMode="auto">
        <a:xfrm>
          <a:off x="10090150" y="19126200"/>
          <a:ext cx="1651000" cy="174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18</xdr:col>
      <xdr:colOff>0</xdr:colOff>
      <xdr:row>147</xdr:row>
      <xdr:rowOff>0</xdr:rowOff>
    </xdr:to>
    <xdr:sp macro="" textlink="">
      <xdr:nvSpPr>
        <xdr:cNvPr id="1284" name="Rectangle 172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>
          <a:spLocks noChangeArrowheads="1"/>
        </xdr:cNvSpPr>
      </xdr:nvSpPr>
      <xdr:spPr bwMode="auto">
        <a:xfrm>
          <a:off x="10090150" y="22199600"/>
          <a:ext cx="1651000" cy="174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18</xdr:col>
      <xdr:colOff>0</xdr:colOff>
      <xdr:row>136</xdr:row>
      <xdr:rowOff>0</xdr:rowOff>
    </xdr:from>
    <xdr:to>
      <xdr:col>22</xdr:col>
      <xdr:colOff>0</xdr:colOff>
      <xdr:row>147</xdr:row>
      <xdr:rowOff>0</xdr:rowOff>
    </xdr:to>
    <xdr:sp macro="" textlink="">
      <xdr:nvSpPr>
        <xdr:cNvPr id="1285" name="Rectangle 173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>
          <a:spLocks noChangeArrowheads="1"/>
        </xdr:cNvSpPr>
      </xdr:nvSpPr>
      <xdr:spPr bwMode="auto">
        <a:xfrm>
          <a:off x="11741150" y="22199600"/>
          <a:ext cx="3302000" cy="174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0</xdr:colOff>
      <xdr:row>136</xdr:row>
      <xdr:rowOff>0</xdr:rowOff>
    </xdr:from>
    <xdr:to>
      <xdr:col>18</xdr:col>
      <xdr:colOff>0</xdr:colOff>
      <xdr:row>147</xdr:row>
      <xdr:rowOff>0</xdr:rowOff>
    </xdr:to>
    <xdr:sp macro="" textlink="">
      <xdr:nvSpPr>
        <xdr:cNvPr id="1286" name="Rectangle 174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>
          <a:spLocks noChangeArrowheads="1"/>
        </xdr:cNvSpPr>
      </xdr:nvSpPr>
      <xdr:spPr bwMode="auto">
        <a:xfrm>
          <a:off x="10090150" y="22199600"/>
          <a:ext cx="1651000" cy="174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oneCell">
    <xdr:from>
      <xdr:col>15</xdr:col>
      <xdr:colOff>615950</xdr:colOff>
      <xdr:row>112</xdr:row>
      <xdr:rowOff>38100</xdr:rowOff>
    </xdr:from>
    <xdr:to>
      <xdr:col>24</xdr:col>
      <xdr:colOff>0</xdr:colOff>
      <xdr:row>148</xdr:row>
      <xdr:rowOff>100331</xdr:rowOff>
    </xdr:to>
    <xdr:sp macro="" textlink="">
      <xdr:nvSpPr>
        <xdr:cNvPr id="1202" name="Text Box 178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 txBox="1">
          <a:spLocks noChangeArrowheads="1"/>
        </xdr:cNvSpPr>
      </xdr:nvSpPr>
      <xdr:spPr bwMode="auto">
        <a:xfrm>
          <a:off x="9845040" y="19042380"/>
          <a:ext cx="6134100" cy="6164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portion is for later - please do not remove.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0</xdr:colOff>
      <xdr:row>5</xdr:row>
      <xdr:rowOff>158750</xdr:rowOff>
    </xdr:to>
    <xdr:sp macro="" textlink="">
      <xdr:nvSpPr>
        <xdr:cNvPr id="4164" name="Rectangle 1">
          <a:extLst>
            <a:ext uri="{FF2B5EF4-FFF2-40B4-BE49-F238E27FC236}">
              <a16:creationId xmlns:a16="http://schemas.microsoft.com/office/drawing/2014/main" id="{00000000-0008-0000-0500-000044100000}"/>
            </a:ext>
          </a:extLst>
        </xdr:cNvPr>
        <xdr:cNvSpPr>
          <a:spLocks noChangeArrowheads="1"/>
        </xdr:cNvSpPr>
      </xdr:nvSpPr>
      <xdr:spPr bwMode="auto">
        <a:xfrm>
          <a:off x="127000" y="755650"/>
          <a:ext cx="2209800" cy="3238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0</xdr:colOff>
      <xdr:row>33</xdr:row>
      <xdr:rowOff>0</xdr:rowOff>
    </xdr:from>
    <xdr:to>
      <xdr:col>6</xdr:col>
      <xdr:colOff>0</xdr:colOff>
      <xdr:row>35</xdr:row>
      <xdr:rowOff>0</xdr:rowOff>
    </xdr:to>
    <xdr:sp macro="" textlink="">
      <xdr:nvSpPr>
        <xdr:cNvPr id="4165" name="Rectangle 2">
          <a:extLst>
            <a:ext uri="{FF2B5EF4-FFF2-40B4-BE49-F238E27FC236}">
              <a16:creationId xmlns:a16="http://schemas.microsoft.com/office/drawing/2014/main" id="{00000000-0008-0000-0500-000045100000}"/>
            </a:ext>
          </a:extLst>
        </xdr:cNvPr>
        <xdr:cNvSpPr>
          <a:spLocks noChangeArrowheads="1"/>
        </xdr:cNvSpPr>
      </xdr:nvSpPr>
      <xdr:spPr bwMode="auto">
        <a:xfrm>
          <a:off x="127000" y="4743450"/>
          <a:ext cx="22098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/>
  </sheetViews>
  <sheetFormatPr baseColWidth="10" defaultColWidth="8.83203125" defaultRowHeight="13"/>
  <cols>
    <col min="1" max="1" width="1.83203125" customWidth="1"/>
    <col min="5" max="8" width="10.83203125" customWidth="1"/>
  </cols>
  <sheetData>
    <row r="1" spans="1:10" ht="16">
      <c r="A1" s="78"/>
      <c r="B1" s="79"/>
      <c r="F1" s="79"/>
      <c r="G1" s="79"/>
      <c r="H1" s="79"/>
      <c r="I1" s="79"/>
      <c r="J1" s="79"/>
    </row>
    <row r="2" spans="1:10" ht="16">
      <c r="A2" s="78"/>
      <c r="B2" s="79"/>
      <c r="C2" s="79"/>
      <c r="D2" s="79"/>
      <c r="E2" s="79"/>
      <c r="F2" s="79"/>
      <c r="G2" s="79"/>
      <c r="H2" s="79"/>
      <c r="I2" s="79"/>
      <c r="J2" s="79"/>
    </row>
    <row r="3" spans="1:10" ht="16">
      <c r="A3" s="78" t="s">
        <v>0</v>
      </c>
      <c r="B3" s="79" t="s">
        <v>1</v>
      </c>
      <c r="C3" s="79"/>
      <c r="D3" s="79"/>
      <c r="E3" s="86" t="s">
        <v>2</v>
      </c>
      <c r="F3" s="80"/>
      <c r="G3" s="80"/>
      <c r="H3" s="81"/>
      <c r="I3" s="82" t="s">
        <v>3</v>
      </c>
      <c r="J3" s="79"/>
    </row>
    <row r="4" spans="1:10" ht="16">
      <c r="A4" s="78"/>
      <c r="B4" s="79"/>
      <c r="C4" s="79"/>
      <c r="D4" s="79"/>
      <c r="E4" s="87"/>
      <c r="F4" s="79"/>
      <c r="G4" s="79"/>
      <c r="H4" s="79"/>
      <c r="I4" s="79"/>
      <c r="J4" s="79"/>
    </row>
    <row r="5" spans="1:10" ht="16">
      <c r="A5" s="78"/>
      <c r="B5" s="83" t="s">
        <v>4</v>
      </c>
      <c r="C5" s="79"/>
      <c r="D5" s="79"/>
      <c r="E5" s="86" t="s">
        <v>5</v>
      </c>
      <c r="F5" s="80"/>
      <c r="G5" s="80"/>
      <c r="H5" s="81"/>
      <c r="I5" s="82" t="s">
        <v>6</v>
      </c>
      <c r="J5" s="79"/>
    </row>
    <row r="6" spans="1:10" ht="16">
      <c r="A6" s="78"/>
      <c r="B6" s="79"/>
      <c r="C6" s="79"/>
      <c r="D6" s="79"/>
      <c r="E6" s="88"/>
      <c r="F6" s="79"/>
      <c r="G6" s="79"/>
      <c r="H6" s="79"/>
      <c r="I6" s="79"/>
      <c r="J6" s="79"/>
    </row>
    <row r="7" spans="1:10" ht="16">
      <c r="A7" s="78"/>
      <c r="B7" s="83" t="s">
        <v>7</v>
      </c>
      <c r="C7" s="79"/>
      <c r="D7" s="79"/>
      <c r="E7" s="89">
        <v>45869</v>
      </c>
      <c r="F7" s="82" t="s">
        <v>8</v>
      </c>
      <c r="G7" s="79"/>
      <c r="H7" s="84"/>
      <c r="I7" s="79"/>
      <c r="J7" s="79"/>
    </row>
    <row r="8" spans="1:10" ht="16">
      <c r="A8" s="78"/>
      <c r="B8" s="79"/>
      <c r="C8" s="79"/>
      <c r="D8" s="79"/>
      <c r="E8" s="88"/>
      <c r="F8" s="79"/>
      <c r="G8" s="79"/>
      <c r="H8" s="79"/>
      <c r="I8" s="79"/>
      <c r="J8" s="85"/>
    </row>
    <row r="9" spans="1:10" ht="16">
      <c r="A9" s="78" t="s">
        <v>0</v>
      </c>
      <c r="B9" s="83" t="s">
        <v>9</v>
      </c>
      <c r="C9" s="79"/>
      <c r="D9" s="79"/>
      <c r="E9" s="90">
        <v>365</v>
      </c>
      <c r="F9" s="82" t="s">
        <v>10</v>
      </c>
      <c r="G9" s="79"/>
      <c r="H9" s="79"/>
      <c r="I9" s="79"/>
      <c r="J9" s="85"/>
    </row>
    <row r="13" spans="1:10" ht="16">
      <c r="A13" s="78" t="s">
        <v>0</v>
      </c>
      <c r="B13" s="153"/>
    </row>
  </sheetData>
  <phoneticPr fontId="2" type="noConversion"/>
  <printOptions horizontalCentered="1"/>
  <pageMargins left="0.75" right="0.75" top="0.75" bottom="0.75" header="0.5" footer="0.25"/>
  <pageSetup scale="97" orientation="landscape" r:id="rId1"/>
  <headerFooter alignWithMargins="0">
    <oddHeader>&amp;R&amp;8Training The Street, Inc.
&amp;D &amp;T</oddHeader>
    <oddFooter>&amp;L&amp;8COPYRIGHT 2014 © by Training The Street, Inc&amp;C&amp;8&amp;G&amp;R&amp;8For training purposes only!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9"/>
  <sheetViews>
    <sheetView showGridLines="0" showOutlineSymbols="0" zoomScale="84" zoomScaleNormal="100" workbookViewId="0"/>
  </sheetViews>
  <sheetFormatPr baseColWidth="10" defaultColWidth="8.83203125" defaultRowHeight="13"/>
  <cols>
    <col min="1" max="1" width="1.83203125" style="78" customWidth="1"/>
    <col min="2" max="3" width="1.83203125" customWidth="1"/>
    <col min="4" max="15" width="10.83203125" customWidth="1"/>
    <col min="16" max="16" width="9.1640625" customWidth="1"/>
    <col min="17" max="22" width="11.83203125" customWidth="1"/>
    <col min="23" max="30" width="9.1640625" customWidth="1"/>
  </cols>
  <sheetData>
    <row r="1" spans="1:18" s="1" customFormat="1">
      <c r="A1" s="152"/>
    </row>
    <row r="2" spans="1:18" s="1" customFormat="1">
      <c r="A2" s="152"/>
      <c r="D2" s="207" t="s">
        <v>11</v>
      </c>
      <c r="E2" s="217"/>
      <c r="F2" s="217"/>
      <c r="G2" s="217"/>
      <c r="H2" s="217"/>
      <c r="R2" s="218"/>
    </row>
    <row r="3" spans="1:18" s="1" customFormat="1">
      <c r="A3" s="152"/>
      <c r="D3" s="210" t="s">
        <v>12</v>
      </c>
      <c r="E3" s="206" t="s">
        <v>13</v>
      </c>
      <c r="F3" s="217"/>
      <c r="G3" s="217"/>
      <c r="H3" s="217"/>
      <c r="R3" s="218"/>
    </row>
    <row r="4" spans="1:18" s="1" customFormat="1">
      <c r="A4" s="152"/>
      <c r="D4" s="217"/>
      <c r="E4" s="206" t="s">
        <v>14</v>
      </c>
      <c r="F4" s="217"/>
      <c r="G4" s="217"/>
      <c r="H4" s="217"/>
      <c r="R4" s="218"/>
    </row>
    <row r="5" spans="1:18" s="1" customFormat="1">
      <c r="A5" s="152"/>
      <c r="D5" s="217"/>
      <c r="E5" s="217"/>
      <c r="F5" s="217"/>
      <c r="G5" s="217"/>
      <c r="H5" s="217"/>
      <c r="K5" s="3" t="s">
        <v>15</v>
      </c>
      <c r="R5" s="218"/>
    </row>
    <row r="6" spans="1:18" s="1" customFormat="1">
      <c r="A6" s="152"/>
      <c r="D6" s="209" t="s">
        <v>16</v>
      </c>
      <c r="E6" s="217"/>
      <c r="F6" s="217"/>
      <c r="G6" s="217"/>
      <c r="H6" s="217"/>
      <c r="K6" s="188" t="s">
        <v>17</v>
      </c>
    </row>
    <row r="7" spans="1:18" s="1" customFormat="1">
      <c r="A7" s="152"/>
      <c r="D7" s="208">
        <v>0</v>
      </c>
      <c r="E7" s="217"/>
      <c r="F7" s="217"/>
      <c r="G7" s="217"/>
      <c r="H7" s="217"/>
      <c r="K7" s="219"/>
    </row>
    <row r="8" spans="1:18" s="1" customFormat="1">
      <c r="A8" s="152"/>
      <c r="D8" s="217"/>
      <c r="E8" s="217"/>
      <c r="F8" s="217"/>
      <c r="G8" s="217"/>
      <c r="H8" s="217"/>
      <c r="I8" s="217"/>
      <c r="J8" s="220"/>
    </row>
    <row r="9" spans="1:18" s="1" customFormat="1">
      <c r="A9" s="152"/>
      <c r="D9" s="2" t="s">
        <v>18</v>
      </c>
      <c r="E9" s="217"/>
      <c r="F9" s="217"/>
      <c r="G9" s="2" t="s">
        <v>19</v>
      </c>
      <c r="H9" s="217"/>
      <c r="I9" s="149" t="s">
        <v>20</v>
      </c>
    </row>
    <row r="10" spans="1:18" s="1" customFormat="1">
      <c r="A10" s="152"/>
      <c r="D10" s="5">
        <v>5</v>
      </c>
      <c r="E10" s="217" t="s">
        <v>21</v>
      </c>
      <c r="F10" s="217"/>
      <c r="G10" s="143">
        <v>0.01</v>
      </c>
      <c r="H10" s="217"/>
      <c r="I10" s="148">
        <v>1</v>
      </c>
      <c r="J10" s="4" t="s">
        <v>22</v>
      </c>
    </row>
    <row r="11" spans="1:18" s="1" customFormat="1">
      <c r="A11" s="152"/>
      <c r="D11" s="217"/>
      <c r="E11" s="217"/>
      <c r="F11" s="217"/>
      <c r="G11" s="217"/>
      <c r="H11" s="217"/>
      <c r="J11" s="4" t="s">
        <v>23</v>
      </c>
    </row>
    <row r="12" spans="1:18" s="1" customFormat="1">
      <c r="A12" s="152"/>
      <c r="D12" s="2" t="s">
        <v>24</v>
      </c>
      <c r="E12" s="217"/>
      <c r="F12" s="217"/>
      <c r="G12" s="2" t="s">
        <v>25</v>
      </c>
      <c r="H12" s="217"/>
    </row>
    <row r="13" spans="1:18" s="1" customFormat="1">
      <c r="A13" s="152"/>
      <c r="D13" s="6">
        <v>88.88</v>
      </c>
      <c r="G13" s="7">
        <v>46056</v>
      </c>
    </row>
    <row r="14" spans="1:18" s="1" customFormat="1">
      <c r="A14" s="152"/>
      <c r="D14" s="158"/>
    </row>
    <row r="15" spans="1:18" s="1" customFormat="1">
      <c r="A15" s="152"/>
    </row>
    <row r="17" spans="1:17" ht="18">
      <c r="A17" s="78" t="s">
        <v>26</v>
      </c>
      <c r="B17" s="8" t="str">
        <f>"Leveraged "&amp;IF(D3="Y","Recapitalization","Buyout")&amp;" for " &amp;Name</f>
        <v>Leveraged Buyout for Brady Coporation</v>
      </c>
      <c r="C17" s="9"/>
      <c r="D17" s="8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</row>
    <row r="18" spans="1:17" ht="17" thickBot="1">
      <c r="B18" s="10" t="s">
        <v>27</v>
      </c>
      <c r="C18" s="10"/>
      <c r="D18" s="10"/>
      <c r="E18" s="221"/>
      <c r="F18" s="221"/>
      <c r="G18" s="221"/>
      <c r="H18" s="221"/>
      <c r="I18" s="221"/>
      <c r="J18" s="221"/>
      <c r="K18" s="221"/>
      <c r="L18" s="221"/>
      <c r="M18" s="221"/>
      <c r="N18" s="11" t="s">
        <v>28</v>
      </c>
      <c r="O18" s="110">
        <f>FYE</f>
        <v>45869</v>
      </c>
      <c r="P18" s="216"/>
    </row>
    <row r="19" spans="1:17">
      <c r="B19" s="13" t="str">
        <f>Subheader</f>
        <v>Dollars in Millions, except per share</v>
      </c>
      <c r="C19" s="13"/>
      <c r="D19" s="13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</row>
    <row r="20" spans="1:17">
      <c r="C20" s="9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</row>
    <row r="21" spans="1:17">
      <c r="C21" s="9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</row>
    <row r="22" spans="1:17">
      <c r="B22" s="14" t="s">
        <v>29</v>
      </c>
      <c r="C22" s="15"/>
      <c r="D22" s="16"/>
      <c r="E22" s="222"/>
      <c r="F22" s="222"/>
      <c r="G22" s="222"/>
      <c r="H22" s="17" t="s">
        <v>30</v>
      </c>
      <c r="I22" s="17" t="s">
        <v>31</v>
      </c>
      <c r="J22" s="17" t="s">
        <v>32</v>
      </c>
      <c r="K22" s="17" t="s">
        <v>33</v>
      </c>
      <c r="L22" s="17" t="s">
        <v>34</v>
      </c>
      <c r="M22" s="17" t="s">
        <v>35</v>
      </c>
      <c r="N22" s="17" t="s">
        <v>36</v>
      </c>
      <c r="O22" s="18" t="s">
        <v>37</v>
      </c>
    </row>
    <row r="23" spans="1:17">
      <c r="B23" s="19"/>
      <c r="C23" s="223" t="s">
        <v>38</v>
      </c>
      <c r="E23" s="216"/>
      <c r="G23" s="20"/>
      <c r="H23" s="181">
        <f>H79-D10</f>
        <v>169.34899999999999</v>
      </c>
      <c r="I23" s="224">
        <f ca="1">H23/$H$29</f>
        <v>3.3066768761062161E-2</v>
      </c>
      <c r="J23" s="21">
        <v>3.7999999999999999E-2</v>
      </c>
      <c r="K23" s="224"/>
      <c r="L23" s="216"/>
      <c r="M23" s="216"/>
      <c r="N23" s="216"/>
      <c r="O23" s="225"/>
    </row>
    <row r="24" spans="1:17">
      <c r="B24" s="19"/>
      <c r="C24" s="22" t="s">
        <v>39</v>
      </c>
      <c r="E24" s="216"/>
      <c r="F24" s="216"/>
      <c r="H24" s="74">
        <f ca="1">H29-H23-H25-H26-H28</f>
        <v>342.79357196916453</v>
      </c>
      <c r="I24" s="224">
        <f ca="1">H24/$H$29</f>
        <v>6.6933231238937838E-2</v>
      </c>
      <c r="J24" s="21">
        <v>5.5E-2</v>
      </c>
      <c r="K24" s="21"/>
      <c r="L24" s="190">
        <v>7</v>
      </c>
      <c r="M24" s="191">
        <v>2.2499999999999999E-2</v>
      </c>
      <c r="N24" s="181">
        <f ca="1">H24*M24</f>
        <v>7.7128553693062019</v>
      </c>
      <c r="O24" s="226">
        <f ca="1">N24/L24</f>
        <v>1.1018364813294574</v>
      </c>
    </row>
    <row r="25" spans="1:17">
      <c r="B25" s="19"/>
      <c r="C25" s="22" t="s">
        <v>40</v>
      </c>
      <c r="E25" s="216"/>
      <c r="F25" s="216"/>
      <c r="H25" s="227">
        <f ca="1">I25*$H$29</f>
        <v>1536.4277159074934</v>
      </c>
      <c r="I25" s="106">
        <v>0.3</v>
      </c>
      <c r="J25" s="21">
        <v>6.5000000000000002E-2</v>
      </c>
      <c r="K25" s="21"/>
      <c r="L25" s="190">
        <v>7</v>
      </c>
      <c r="M25" s="191">
        <v>2.2499999999999999E-2</v>
      </c>
      <c r="N25" s="227">
        <f ca="1">H25*M25</f>
        <v>34.569623607918601</v>
      </c>
      <c r="O25" s="228">
        <f t="shared" ref="O25:O26" ca="1" si="0">N25/L25</f>
        <v>4.938517658274086</v>
      </c>
    </row>
    <row r="26" spans="1:17">
      <c r="B26" s="19"/>
      <c r="C26" s="22" t="s">
        <v>41</v>
      </c>
      <c r="E26" s="216"/>
      <c r="F26" s="216"/>
      <c r="H26" s="227">
        <f ca="1">I26*$H$29</f>
        <v>819.42811515066319</v>
      </c>
      <c r="I26" s="21">
        <v>0.16</v>
      </c>
      <c r="J26" s="21">
        <v>8.5000000000000006E-2</v>
      </c>
      <c r="K26" s="21">
        <v>0</v>
      </c>
      <c r="L26" s="190">
        <v>10</v>
      </c>
      <c r="M26" s="191">
        <v>0.03</v>
      </c>
      <c r="N26" s="227">
        <f ca="1">H26*M26</f>
        <v>24.582843454519896</v>
      </c>
      <c r="O26" s="228">
        <f t="shared" ca="1" si="0"/>
        <v>2.4582843454519896</v>
      </c>
    </row>
    <row r="27" spans="1:17">
      <c r="B27" s="19"/>
      <c r="C27" s="205" t="s">
        <v>42</v>
      </c>
      <c r="D27" s="1"/>
      <c r="E27" s="219"/>
      <c r="F27" s="216"/>
      <c r="H27" s="229"/>
      <c r="I27" s="230"/>
      <c r="J27" s="21"/>
      <c r="K27" s="21">
        <v>0</v>
      </c>
      <c r="L27" s="23"/>
      <c r="M27" s="24"/>
      <c r="N27" s="227"/>
      <c r="O27" s="228"/>
    </row>
    <row r="28" spans="1:17">
      <c r="B28" s="19"/>
      <c r="C28" s="25" t="s">
        <v>43</v>
      </c>
      <c r="E28" s="216"/>
      <c r="F28" s="216"/>
      <c r="G28" s="32"/>
      <c r="H28" s="227">
        <f ca="1">I28*$H$29</f>
        <v>2253.4273166643238</v>
      </c>
      <c r="I28" s="21">
        <v>0.44</v>
      </c>
      <c r="J28" s="224"/>
      <c r="K28" s="26">
        <f>1-SUM(K24:K27)</f>
        <v>1</v>
      </c>
      <c r="L28" s="216"/>
      <c r="M28" s="216"/>
      <c r="N28" s="216"/>
      <c r="O28" s="225"/>
    </row>
    <row r="29" spans="1:17">
      <c r="B29" s="19"/>
      <c r="D29" s="27" t="s">
        <v>44</v>
      </c>
      <c r="E29" s="28"/>
      <c r="F29" s="28"/>
      <c r="G29" s="29"/>
      <c r="H29" s="96">
        <f ca="1">H37</f>
        <v>5121.4257196916451</v>
      </c>
      <c r="I29" s="231">
        <f ca="1">SUM(I23:I28)</f>
        <v>1</v>
      </c>
      <c r="J29" s="224"/>
      <c r="K29" s="232">
        <f>SUM(K24:K28)</f>
        <v>1</v>
      </c>
      <c r="L29" s="216"/>
      <c r="M29" s="216"/>
      <c r="N29" s="233">
        <f ca="1">SUM(N24:N28)</f>
        <v>66.865322431744701</v>
      </c>
      <c r="O29" s="234">
        <f ca="1">SUM(O24:O28)</f>
        <v>8.4986384850555332</v>
      </c>
      <c r="Q29" s="92"/>
    </row>
    <row r="30" spans="1:17">
      <c r="B30" s="19"/>
      <c r="C30" s="9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25"/>
      <c r="Q30" s="76"/>
    </row>
    <row r="31" spans="1:17">
      <c r="B31" s="30" t="s">
        <v>45</v>
      </c>
      <c r="C31" s="9"/>
      <c r="E31" s="216"/>
      <c r="F31" s="216"/>
      <c r="G31" s="181"/>
      <c r="H31" s="235"/>
      <c r="I31" s="236"/>
      <c r="J31" s="216"/>
      <c r="K31" s="216"/>
      <c r="L31" s="216"/>
      <c r="M31" s="216"/>
      <c r="N31" s="216"/>
      <c r="O31" s="225"/>
      <c r="Q31" s="76"/>
    </row>
    <row r="32" spans="1:17">
      <c r="B32" s="19"/>
      <c r="C32" s="216" t="str">
        <f>"Purchase of Equity @ "&amp;TEXT(H41,"$0.00")&amp;" per share"</f>
        <v>Purchase of Equity @ $102.21 per share</v>
      </c>
      <c r="E32" s="216"/>
      <c r="F32" s="216"/>
      <c r="G32" s="31"/>
      <c r="H32" s="181">
        <f>H44</f>
        <v>4905.7370269900002</v>
      </c>
      <c r="I32" s="216"/>
      <c r="O32" s="105"/>
    </row>
    <row r="33" spans="1:17">
      <c r="B33" s="19"/>
      <c r="C33" s="218" t="str">
        <f>C27</f>
        <v>Rollover Equity (non-cash)</v>
      </c>
      <c r="D33" s="1"/>
      <c r="E33" s="1"/>
      <c r="H33" s="237"/>
      <c r="I33" s="216"/>
      <c r="O33" s="105"/>
    </row>
    <row r="34" spans="1:17">
      <c r="B34" s="19"/>
      <c r="C34" s="223" t="s">
        <v>46</v>
      </c>
      <c r="E34" s="216"/>
      <c r="F34" s="216"/>
      <c r="G34" s="216"/>
      <c r="H34" s="227">
        <f>H99</f>
        <v>99.766000000000005</v>
      </c>
      <c r="I34" s="216"/>
      <c r="O34" s="105"/>
    </row>
    <row r="35" spans="1:17">
      <c r="B35" s="19"/>
      <c r="C35" s="223" t="s">
        <v>47</v>
      </c>
      <c r="E35" s="216"/>
      <c r="F35" s="216"/>
      <c r="G35" s="33"/>
      <c r="H35" s="34">
        <f ca="1">N29</f>
        <v>66.865322431744701</v>
      </c>
      <c r="I35" s="216"/>
      <c r="O35" s="105"/>
    </row>
    <row r="36" spans="1:17">
      <c r="B36" s="19"/>
      <c r="C36" s="35" t="str">
        <f>"Transaction Expenses @ "&amp;TEXT(G10,"0.0%")</f>
        <v>Transaction Expenses @ 1.0%</v>
      </c>
      <c r="E36" s="216"/>
      <c r="G36" s="216"/>
      <c r="H36" s="227">
        <f>G10*H32</f>
        <v>49.057370269900005</v>
      </c>
      <c r="J36" s="37"/>
      <c r="K36" s="216"/>
      <c r="L36" s="28"/>
      <c r="M36" s="216"/>
      <c r="N36" s="216"/>
      <c r="O36" s="38"/>
    </row>
    <row r="37" spans="1:17">
      <c r="A37" s="78" t="s">
        <v>26</v>
      </c>
      <c r="B37" s="39"/>
      <c r="C37" s="40"/>
      <c r="D37" s="41" t="s">
        <v>48</v>
      </c>
      <c r="E37" s="42"/>
      <c r="F37" s="42"/>
      <c r="G37" s="42"/>
      <c r="H37" s="43">
        <f ca="1">SUM(H32:H36)</f>
        <v>5121.4257196916451</v>
      </c>
      <c r="I37" s="238"/>
      <c r="J37" s="239"/>
      <c r="K37" s="239"/>
      <c r="L37" s="239"/>
      <c r="M37" s="239"/>
      <c r="N37" s="239"/>
      <c r="O37" s="240"/>
      <c r="Q37" s="92"/>
    </row>
    <row r="38" spans="1:17">
      <c r="C38" s="9"/>
      <c r="D38" s="44"/>
      <c r="E38" s="216"/>
      <c r="F38" s="216"/>
      <c r="G38" s="45"/>
      <c r="H38" s="45"/>
      <c r="I38" s="216"/>
      <c r="J38" s="216"/>
      <c r="K38" s="216"/>
      <c r="L38" s="216"/>
      <c r="M38" s="216"/>
      <c r="N38" s="216"/>
      <c r="O38" s="216"/>
      <c r="P38" s="216"/>
    </row>
    <row r="39" spans="1:17">
      <c r="B39" s="46" t="s">
        <v>49</v>
      </c>
      <c r="C39" s="47"/>
      <c r="D39" s="47"/>
      <c r="E39" s="47"/>
      <c r="F39" s="47"/>
      <c r="G39" s="47"/>
      <c r="H39" s="48"/>
      <c r="I39" s="216"/>
      <c r="J39" s="46" t="s">
        <v>50</v>
      </c>
      <c r="K39" s="47"/>
      <c r="L39" s="47"/>
      <c r="M39" s="47"/>
      <c r="N39" s="47"/>
      <c r="O39" s="48"/>
    </row>
    <row r="40" spans="1:17">
      <c r="B40" s="54" t="str">
        <f>IF(D3="y","Total Shares Purchased by Equity Sponsor","Total Potential Shares")</f>
        <v>Total Potential Shares</v>
      </c>
      <c r="C40" s="16"/>
      <c r="D40" s="16"/>
      <c r="E40" s="16"/>
      <c r="F40" s="16"/>
      <c r="G40" s="16"/>
      <c r="H40" s="192">
        <f>H49</f>
        <v>48.461697000000001</v>
      </c>
      <c r="I40" s="150"/>
      <c r="J40" s="241"/>
      <c r="K40" s="222"/>
      <c r="L40" s="222"/>
      <c r="M40" s="128">
        <f>YEAR(FYE)</f>
        <v>2025</v>
      </c>
      <c r="N40" s="129">
        <f>M40+1</f>
        <v>2026</v>
      </c>
      <c r="O40" s="130">
        <f>N40+1</f>
        <v>2027</v>
      </c>
    </row>
    <row r="41" spans="1:17">
      <c r="B41" s="339" t="str">
        <f>"x Purchase Price Per Share @ "&amp;TEXT(H41/D13-1,"0.0%")&amp;" Premium"</f>
        <v>x Purchase Price Per Share @ 15.0% Premium</v>
      </c>
      <c r="C41" s="340"/>
      <c r="D41" s="340"/>
      <c r="E41" s="340"/>
      <c r="F41" s="340"/>
      <c r="H41" s="170">
        <v>102.21</v>
      </c>
      <c r="J41" s="243" t="s">
        <v>51</v>
      </c>
      <c r="K41" s="216"/>
      <c r="L41" s="216"/>
      <c r="M41" s="244">
        <f>IS!H14</f>
        <v>277.27699999999999</v>
      </c>
      <c r="N41" s="244">
        <f>IS!I14</f>
        <v>306.73205325000015</v>
      </c>
      <c r="O41" s="245">
        <f>IS!J14</f>
        <v>335.0992056772501</v>
      </c>
    </row>
    <row r="42" spans="1:17">
      <c r="B42" s="19"/>
      <c r="H42" s="193">
        <f>H40*H41</f>
        <v>4953.2700503699998</v>
      </c>
      <c r="I42" s="151"/>
      <c r="J42" s="243" t="s">
        <v>52</v>
      </c>
      <c r="K42" s="216"/>
      <c r="L42" s="216"/>
      <c r="M42" s="246">
        <f ca="1">Ratios!H26</f>
        <v>1.4719585013827063</v>
      </c>
      <c r="N42" s="246">
        <f ca="1">Ratios!I26</f>
        <v>1.6489624573211057</v>
      </c>
      <c r="O42" s="247">
        <f ca="1">Ratios!J26</f>
        <v>1.8720746305253353</v>
      </c>
    </row>
    <row r="43" spans="1:17">
      <c r="B43" s="242" t="s">
        <v>53</v>
      </c>
      <c r="H43" s="194">
        <f>-H58</f>
        <v>-47.533023380000003</v>
      </c>
      <c r="J43" s="243" t="s">
        <v>54</v>
      </c>
      <c r="K43" s="216"/>
      <c r="L43" s="216"/>
      <c r="M43" s="246">
        <f ca="1">Ratios!H31</f>
        <v>1.3255626604271604</v>
      </c>
      <c r="N43" s="246">
        <f ca="1">Ratios!I31</f>
        <v>1.4339262470718783</v>
      </c>
      <c r="O43" s="247">
        <f ca="1">Ratios!J31</f>
        <v>1.6656011288718708</v>
      </c>
      <c r="Q43" s="177" t="s">
        <v>55</v>
      </c>
    </row>
    <row r="44" spans="1:17">
      <c r="B44" s="126" t="s">
        <v>56</v>
      </c>
      <c r="C44" s="42"/>
      <c r="D44" s="49"/>
      <c r="E44" s="42"/>
      <c r="F44" s="42"/>
      <c r="G44" s="49"/>
      <c r="H44" s="195">
        <f>SUM(H42:H43)</f>
        <v>4905.7370269900002</v>
      </c>
      <c r="I44" s="151"/>
      <c r="J44" s="248" t="s">
        <v>57</v>
      </c>
      <c r="K44" s="216"/>
      <c r="L44" s="216"/>
      <c r="M44" s="249">
        <f ca="1">Ratios!H42</f>
        <v>6.7774149600459399</v>
      </c>
      <c r="N44" s="249">
        <f ca="1">Ratios!I42</f>
        <v>5.8470849967813585</v>
      </c>
      <c r="O44" s="250">
        <f ca="1">Ratios!J42</f>
        <v>4.8465704271736616</v>
      </c>
      <c r="Q44" s="178">
        <v>7</v>
      </c>
    </row>
    <row r="45" spans="1:17">
      <c r="J45" s="243" t="s">
        <v>58</v>
      </c>
      <c r="K45" s="216"/>
      <c r="L45" s="216"/>
      <c r="M45" s="249">
        <f ca="1">Ratios!H43</f>
        <v>9.732683933493659</v>
      </c>
      <c r="N45" s="249">
        <f ca="1">Ratios!I43</f>
        <v>8.5185635933882562</v>
      </c>
      <c r="O45" s="250">
        <f ca="1">Ratios!J43</f>
        <v>7.2919003511720302</v>
      </c>
      <c r="Q45" s="178">
        <v>10</v>
      </c>
    </row>
    <row r="46" spans="1:17">
      <c r="B46" s="50" t="s">
        <v>59</v>
      </c>
      <c r="C46" s="51"/>
      <c r="D46" s="51"/>
      <c r="E46" s="51"/>
      <c r="F46" s="51"/>
      <c r="G46" s="51"/>
      <c r="H46" s="52"/>
      <c r="J46" s="243" t="s">
        <v>60</v>
      </c>
      <c r="M46" s="171">
        <f ca="1">Ratios!H40</f>
        <v>0.44959438038000071</v>
      </c>
      <c r="N46" s="171">
        <f ca="1">Ratios!I40</f>
        <v>0.46002070109155463</v>
      </c>
      <c r="O46" s="172">
        <f ca="1">Ratios!J40</f>
        <v>0.49358870235594787</v>
      </c>
    </row>
    <row r="47" spans="1:17">
      <c r="B47" s="19" t="s">
        <v>61</v>
      </c>
      <c r="C47" s="216"/>
      <c r="E47" s="216"/>
      <c r="F47" s="28"/>
      <c r="G47" s="28"/>
      <c r="H47" s="196">
        <f>43.555822+3.538628</f>
        <v>47.094450000000002</v>
      </c>
      <c r="J47" s="19"/>
      <c r="O47" s="105"/>
    </row>
    <row r="48" spans="1:17">
      <c r="B48" s="242" t="s">
        <v>62</v>
      </c>
      <c r="C48" s="53"/>
      <c r="E48" s="216"/>
      <c r="F48" s="216"/>
      <c r="G48" s="216"/>
      <c r="H48" s="197">
        <f>G58</f>
        <v>1.3672469999999999</v>
      </c>
      <c r="J48" s="248"/>
      <c r="K48" s="216"/>
      <c r="L48" s="216"/>
      <c r="M48" s="216"/>
      <c r="N48" s="124" t="s">
        <v>63</v>
      </c>
      <c r="O48" s="125" t="s">
        <v>64</v>
      </c>
      <c r="Q48" s="177" t="s">
        <v>65</v>
      </c>
    </row>
    <row r="49" spans="2:17">
      <c r="B49" s="39" t="s">
        <v>66</v>
      </c>
      <c r="C49" s="251"/>
      <c r="D49" s="49"/>
      <c r="E49" s="239"/>
      <c r="F49" s="239"/>
      <c r="G49" s="239"/>
      <c r="H49" s="252">
        <f>SUM(H47:H48)</f>
        <v>48.461697000000001</v>
      </c>
      <c r="J49" s="253" t="s">
        <v>67</v>
      </c>
      <c r="K49" s="239"/>
      <c r="L49" s="239"/>
      <c r="M49" s="254"/>
      <c r="N49" s="255">
        <f ca="1">Ratios!N46</f>
        <v>0.65946218843972237</v>
      </c>
      <c r="O49" s="256">
        <f ca="1">Ratios!O46</f>
        <v>0.83779912413256663</v>
      </c>
      <c r="Q49" s="179">
        <v>0.6</v>
      </c>
    </row>
    <row r="50" spans="2:17">
      <c r="I50" s="216"/>
    </row>
    <row r="51" spans="2:17">
      <c r="B51" s="46" t="s">
        <v>68</v>
      </c>
      <c r="C51" s="46"/>
      <c r="D51" s="46"/>
      <c r="E51" s="46"/>
      <c r="F51" s="47"/>
      <c r="G51" s="47"/>
      <c r="H51" s="48"/>
      <c r="I51" s="216"/>
      <c r="J51" s="46" t="s">
        <v>69</v>
      </c>
      <c r="K51" s="47"/>
      <c r="L51" s="47"/>
      <c r="M51" s="47"/>
      <c r="N51" s="47"/>
      <c r="O51" s="47"/>
    </row>
    <row r="52" spans="2:17">
      <c r="B52" s="54"/>
      <c r="C52" s="16"/>
      <c r="D52" s="55" t="s">
        <v>70</v>
      </c>
      <c r="E52" s="55" t="s">
        <v>71</v>
      </c>
      <c r="F52" s="55" t="s">
        <v>72</v>
      </c>
      <c r="G52" s="55" t="s">
        <v>73</v>
      </c>
      <c r="H52" s="56" t="s">
        <v>74</v>
      </c>
      <c r="I52" s="57"/>
      <c r="J52" s="14" t="s">
        <v>75</v>
      </c>
      <c r="K52" s="222"/>
      <c r="L52" s="222"/>
      <c r="M52" s="122" t="s">
        <v>76</v>
      </c>
      <c r="N52" s="122" t="s">
        <v>77</v>
      </c>
      <c r="O52" s="123" t="s">
        <v>78</v>
      </c>
    </row>
    <row r="53" spans="2:17">
      <c r="B53" s="19"/>
      <c r="D53" s="211">
        <v>1.052314</v>
      </c>
      <c r="E53" s="212">
        <v>45.17</v>
      </c>
      <c r="F53" s="213" t="str">
        <f>IF(E53&lt;$H$41,"Yes","No")</f>
        <v>Yes</v>
      </c>
      <c r="G53" s="214">
        <f>IF(E53&lt;$H$41,D53,0)</f>
        <v>1.052314</v>
      </c>
      <c r="H53" s="215">
        <f>D53*E53</f>
        <v>47.533023380000003</v>
      </c>
      <c r="I53" s="216"/>
      <c r="J53" s="257">
        <f>Returns!G13</f>
        <v>16.923565701410503</v>
      </c>
      <c r="K53" s="258"/>
      <c r="L53" s="223"/>
      <c r="M53" s="259">
        <f ca="1">Returns!L25</f>
        <v>0.19743405127345903</v>
      </c>
      <c r="N53" s="259">
        <f ca="1">Returns!M25</f>
        <v>0.19219732383399746</v>
      </c>
      <c r="O53" s="260">
        <f ca="1">Returns!N25</f>
        <v>0.18643074029561449</v>
      </c>
      <c r="P53" s="216"/>
      <c r="Q53" s="177" t="s">
        <v>79</v>
      </c>
    </row>
    <row r="54" spans="2:17">
      <c r="B54" s="19"/>
      <c r="D54" s="211">
        <v>0.16266700000000001</v>
      </c>
      <c r="E54" s="212">
        <v>0</v>
      </c>
      <c r="F54" s="213" t="str">
        <f>IF(E54&lt;$H$41,"Yes","No")</f>
        <v>Yes</v>
      </c>
      <c r="G54" s="214">
        <f t="shared" ref="G54:G57" si="1">IF(E54&lt;$H$41,D54,0)</f>
        <v>0.16266700000000001</v>
      </c>
      <c r="H54" s="215">
        <f t="shared" ref="H54:H57" si="2">D54*E54</f>
        <v>0</v>
      </c>
      <c r="I54" s="216"/>
      <c r="J54" s="257">
        <f>Returns!G14</f>
        <v>17.423565701410503</v>
      </c>
      <c r="K54" s="258"/>
      <c r="L54" s="223"/>
      <c r="M54" s="259">
        <f ca="1">Returns!L26</f>
        <v>0.20994343458802189</v>
      </c>
      <c r="N54" s="259">
        <f ca="1">Returns!M26</f>
        <v>0.20138571754788639</v>
      </c>
      <c r="O54" s="260">
        <f ca="1">Returns!N26</f>
        <v>0.19352708598731141</v>
      </c>
      <c r="P54" s="216"/>
      <c r="Q54" s="179">
        <v>0.2</v>
      </c>
    </row>
    <row r="55" spans="2:17">
      <c r="B55" s="19"/>
      <c r="D55" s="211">
        <v>0.15226600000000001</v>
      </c>
      <c r="E55" s="212">
        <v>0</v>
      </c>
      <c r="F55" s="213" t="str">
        <f>IF(E55&lt;$H$41,"Yes","No")</f>
        <v>Yes</v>
      </c>
      <c r="G55" s="214">
        <f t="shared" si="1"/>
        <v>0.15226600000000001</v>
      </c>
      <c r="H55" s="215">
        <f t="shared" si="2"/>
        <v>0</v>
      </c>
      <c r="I55" s="216"/>
      <c r="J55" s="261">
        <f>Returns!G15</f>
        <v>17.923565701410503</v>
      </c>
      <c r="K55" s="262"/>
      <c r="L55" s="263"/>
      <c r="M55" s="264">
        <f ca="1">Returns!L27</f>
        <v>0.22207643040133707</v>
      </c>
      <c r="N55" s="264">
        <f ca="1">Returns!M27</f>
        <v>0.21030132061318041</v>
      </c>
      <c r="O55" s="265">
        <f ca="1">Returns!N27</f>
        <v>0.20041853486063688</v>
      </c>
      <c r="P55" s="216"/>
    </row>
    <row r="56" spans="2:17">
      <c r="B56" s="19"/>
      <c r="D56" s="211">
        <v>0</v>
      </c>
      <c r="E56" s="212">
        <v>0</v>
      </c>
      <c r="F56" s="213"/>
      <c r="G56" s="214">
        <f t="shared" si="1"/>
        <v>0</v>
      </c>
      <c r="H56" s="215">
        <f t="shared" si="2"/>
        <v>0</v>
      </c>
      <c r="I56" s="216"/>
      <c r="J56" s="258"/>
      <c r="K56" s="216"/>
      <c r="L56" s="223"/>
      <c r="M56" s="259"/>
      <c r="N56" s="259"/>
      <c r="O56" s="259"/>
      <c r="P56" s="216"/>
    </row>
    <row r="57" spans="2:17">
      <c r="B57" s="19"/>
      <c r="D57" s="211">
        <v>0</v>
      </c>
      <c r="E57" s="212">
        <v>0</v>
      </c>
      <c r="F57" s="213"/>
      <c r="G57" s="214">
        <f t="shared" si="1"/>
        <v>0</v>
      </c>
      <c r="H57" s="215">
        <f t="shared" si="2"/>
        <v>0</v>
      </c>
      <c r="I57" s="216"/>
      <c r="J57" s="46" t="s">
        <v>80</v>
      </c>
      <c r="K57" s="47"/>
      <c r="L57" s="47"/>
      <c r="M57" s="47"/>
      <c r="N57" s="47"/>
      <c r="O57" s="48"/>
      <c r="P57" s="216"/>
    </row>
    <row r="58" spans="2:17">
      <c r="B58" s="39"/>
      <c r="C58" s="49"/>
      <c r="D58" s="266">
        <v>0</v>
      </c>
      <c r="E58" s="267"/>
      <c r="F58" s="58"/>
      <c r="G58" s="59">
        <f>SUM(G53:G57)</f>
        <v>1.3672469999999999</v>
      </c>
      <c r="H58" s="60">
        <f>SUM(H53:H57)</f>
        <v>47.533023380000003</v>
      </c>
      <c r="I58" s="216"/>
      <c r="J58" s="132" t="s">
        <v>81</v>
      </c>
      <c r="K58" s="133"/>
      <c r="L58" s="16"/>
      <c r="M58" s="16"/>
      <c r="N58" s="128">
        <f>YEAR(FYE)</f>
        <v>2025</v>
      </c>
      <c r="O58" s="130">
        <f>N58+1</f>
        <v>2026</v>
      </c>
      <c r="P58" s="216"/>
    </row>
    <row r="59" spans="2:17">
      <c r="I59" s="216"/>
      <c r="J59" s="134">
        <f>H44+H99-H79</f>
        <v>4831.1540269899997</v>
      </c>
      <c r="L59" s="223" t="s">
        <v>82</v>
      </c>
      <c r="N59" s="268">
        <f>$J$59/IS!H8</f>
        <v>3.19181954802607</v>
      </c>
      <c r="O59" s="269">
        <f>$J$59/IS!I8</f>
        <v>3.0398281409772094</v>
      </c>
      <c r="P59" s="216"/>
    </row>
    <row r="60" spans="2:17">
      <c r="B60" s="46" t="s">
        <v>83</v>
      </c>
      <c r="C60" s="46"/>
      <c r="D60" s="46"/>
      <c r="E60" s="46"/>
      <c r="F60" s="47"/>
      <c r="G60" s="47"/>
      <c r="H60" s="48"/>
      <c r="I60" s="216"/>
      <c r="J60" s="243"/>
      <c r="L60" s="223" t="s">
        <v>84</v>
      </c>
      <c r="N60" s="270">
        <f>$J$59/IS!H14</f>
        <v>17.423565701410503</v>
      </c>
      <c r="O60" s="271">
        <f>$J$59/IS!I14</f>
        <v>15.750404875529576</v>
      </c>
      <c r="P60" s="216"/>
    </row>
    <row r="61" spans="2:17">
      <c r="B61" s="199" t="s">
        <v>43</v>
      </c>
      <c r="C61" s="200"/>
      <c r="D61" s="216"/>
      <c r="E61" s="216"/>
      <c r="F61" s="216"/>
      <c r="H61" s="272"/>
      <c r="I61" s="216"/>
      <c r="J61" s="253"/>
      <c r="K61" s="49"/>
      <c r="L61" s="263" t="s">
        <v>85</v>
      </c>
      <c r="M61" s="49"/>
      <c r="N61" s="273">
        <f>$J$59/IS!H17</f>
        <v>20.415799774296605</v>
      </c>
      <c r="O61" s="274">
        <f>$J$59/IS!I17</f>
        <v>18.249222063139033</v>
      </c>
      <c r="P61" s="216"/>
    </row>
    <row r="62" spans="2:17">
      <c r="B62" s="199" t="s">
        <v>86</v>
      </c>
      <c r="C62" s="200"/>
      <c r="D62" s="216"/>
      <c r="E62" s="216"/>
      <c r="F62" s="216"/>
      <c r="H62" s="173"/>
    </row>
    <row r="63" spans="2:17">
      <c r="B63" s="201" t="s">
        <v>87</v>
      </c>
      <c r="C63" s="200"/>
      <c r="D63" s="216"/>
      <c r="E63" s="216"/>
      <c r="F63" s="216"/>
      <c r="H63" s="275"/>
      <c r="J63" s="46" t="s">
        <v>88</v>
      </c>
      <c r="K63" s="47"/>
      <c r="L63" s="47"/>
      <c r="M63" s="47"/>
      <c r="N63" s="47"/>
      <c r="O63" s="48"/>
    </row>
    <row r="64" spans="2:17">
      <c r="B64" s="202" t="s">
        <v>89</v>
      </c>
      <c r="C64" s="200"/>
      <c r="D64" s="28"/>
      <c r="E64" s="216"/>
      <c r="F64" s="216"/>
      <c r="H64" s="174"/>
      <c r="I64" s="61"/>
      <c r="J64" s="276" t="s">
        <v>90</v>
      </c>
      <c r="K64" s="222"/>
      <c r="L64" s="222"/>
      <c r="M64" s="222"/>
      <c r="N64" s="222"/>
      <c r="O64" s="277">
        <f>H32</f>
        <v>4905.7370269900002</v>
      </c>
    </row>
    <row r="65" spans="1:17">
      <c r="B65" s="201" t="s">
        <v>91</v>
      </c>
      <c r="C65" s="200"/>
      <c r="H65" s="175"/>
      <c r="I65" s="92"/>
      <c r="J65" s="248" t="s">
        <v>92</v>
      </c>
      <c r="K65" s="216"/>
      <c r="L65" s="216"/>
      <c r="M65" s="216"/>
      <c r="N65" s="216"/>
      <c r="O65" s="278">
        <f>-H107</f>
        <v>-1192.211</v>
      </c>
    </row>
    <row r="66" spans="1:17">
      <c r="B66" s="199" t="s">
        <v>93</v>
      </c>
      <c r="C66" s="200"/>
      <c r="H66" s="176"/>
      <c r="J66" s="243" t="s">
        <v>94</v>
      </c>
      <c r="K66" s="216"/>
      <c r="L66" s="216"/>
      <c r="M66" s="216"/>
      <c r="N66" s="216"/>
      <c r="O66" s="278">
        <f>H88</f>
        <v>676.94500000000005</v>
      </c>
      <c r="P66" s="216"/>
    </row>
    <row r="67" spans="1:17">
      <c r="B67" s="199" t="s">
        <v>95</v>
      </c>
      <c r="C67" s="200"/>
      <c r="E67" s="216"/>
      <c r="F67" s="216"/>
      <c r="G67" s="216"/>
      <c r="H67" s="279"/>
      <c r="J67" s="62" t="s">
        <v>96</v>
      </c>
      <c r="K67" s="63"/>
      <c r="L67" s="63"/>
      <c r="M67" s="63"/>
      <c r="N67" s="63"/>
      <c r="O67" s="198">
        <f>SUM(O64:O66)</f>
        <v>4390.4710269899997</v>
      </c>
      <c r="P67" s="216"/>
    </row>
    <row r="68" spans="1:17">
      <c r="B68" s="203" t="s">
        <v>97</v>
      </c>
      <c r="C68" s="204"/>
      <c r="D68" s="49"/>
      <c r="E68" s="239"/>
      <c r="F68" s="239"/>
      <c r="G68" s="239"/>
      <c r="H68" s="280"/>
      <c r="P68" s="216"/>
    </row>
    <row r="70" spans="1:17">
      <c r="B70" s="127" t="s">
        <v>98</v>
      </c>
      <c r="C70" s="15"/>
      <c r="D70" s="16"/>
      <c r="E70" s="222"/>
      <c r="F70" s="222"/>
      <c r="G70" s="222"/>
      <c r="H70" s="222"/>
      <c r="P70" s="216"/>
    </row>
    <row r="71" spans="1:17">
      <c r="B71" s="64" t="s">
        <v>99</v>
      </c>
      <c r="C71" s="9"/>
      <c r="E71" s="216"/>
      <c r="F71" s="216"/>
      <c r="G71" s="216"/>
      <c r="H71" s="216"/>
      <c r="P71" s="216"/>
    </row>
    <row r="72" spans="1:17">
      <c r="B72" s="64"/>
      <c r="C72" s="9"/>
      <c r="E72" s="216"/>
      <c r="F72" s="216"/>
      <c r="G72" s="216"/>
      <c r="H72" s="216"/>
      <c r="P72" s="216"/>
    </row>
    <row r="73" spans="1:17" ht="20">
      <c r="A73" s="78" t="s">
        <v>26</v>
      </c>
      <c r="B73" s="65" t="str">
        <f>B17</f>
        <v>Leveraged Buyout for Brady Coporation</v>
      </c>
      <c r="C73" s="66"/>
      <c r="D73" s="216"/>
      <c r="E73" s="216"/>
      <c r="F73" s="216"/>
      <c r="G73" s="216"/>
      <c r="H73" s="216"/>
      <c r="I73" s="216"/>
      <c r="J73" s="216"/>
      <c r="K73" s="216"/>
      <c r="L73" s="216"/>
      <c r="M73" s="216"/>
    </row>
    <row r="74" spans="1:17" ht="17" thickBot="1">
      <c r="B74" s="10" t="s">
        <v>100</v>
      </c>
      <c r="C74" s="10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</row>
    <row r="75" spans="1:17">
      <c r="B75" s="13" t="str">
        <f>Subheader</f>
        <v>Dollars in Millions, except per share</v>
      </c>
      <c r="C75" s="13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</row>
    <row r="76" spans="1:17">
      <c r="B76" s="216"/>
      <c r="C76" s="216"/>
      <c r="D76" s="281"/>
      <c r="E76" s="281"/>
      <c r="F76" s="281"/>
      <c r="G76" s="281"/>
      <c r="H76" s="282"/>
      <c r="I76" s="216"/>
      <c r="L76" s="216"/>
      <c r="M76" s="68" t="s">
        <v>101</v>
      </c>
      <c r="N76" s="216"/>
    </row>
    <row r="77" spans="1:17">
      <c r="B77" s="216"/>
      <c r="C77" s="216"/>
      <c r="D77" s="281"/>
      <c r="E77" s="281"/>
      <c r="F77" s="281"/>
      <c r="G77" s="281"/>
      <c r="H77" s="69">
        <f>FYE</f>
        <v>45869</v>
      </c>
      <c r="I77" s="216"/>
      <c r="J77" s="131" t="s">
        <v>102</v>
      </c>
      <c r="K77" s="67"/>
      <c r="L77" s="281"/>
      <c r="M77" s="70">
        <f>H77</f>
        <v>45869</v>
      </c>
      <c r="N77" s="216"/>
    </row>
    <row r="78" spans="1:17">
      <c r="B78" s="216"/>
      <c r="C78" s="216"/>
      <c r="D78" s="281"/>
      <c r="E78" s="281"/>
      <c r="F78" s="281"/>
      <c r="G78" s="281"/>
      <c r="H78" s="281"/>
      <c r="I78" s="216"/>
      <c r="L78" s="281"/>
      <c r="M78" s="281"/>
      <c r="N78" s="216"/>
    </row>
    <row r="79" spans="1:17">
      <c r="A79" s="78" t="s">
        <v>26</v>
      </c>
      <c r="B79" s="216"/>
      <c r="C79" s="71" t="s">
        <v>38</v>
      </c>
      <c r="D79" s="281"/>
      <c r="E79" s="281"/>
      <c r="F79" s="281"/>
      <c r="G79" s="281"/>
      <c r="H79" s="72">
        <v>174.34899999999999</v>
      </c>
      <c r="I79" s="216"/>
      <c r="J79" s="93">
        <f>-H23</f>
        <v>-169.34899999999999</v>
      </c>
      <c r="L79" s="283"/>
      <c r="M79" s="181">
        <f>H79+J79+K79</f>
        <v>5</v>
      </c>
      <c r="N79" s="216"/>
      <c r="Q79" s="377"/>
    </row>
    <row r="80" spans="1:17">
      <c r="B80" s="227"/>
      <c r="C80" s="36" t="s">
        <v>103</v>
      </c>
      <c r="D80" s="281"/>
      <c r="E80" s="281"/>
      <c r="F80" s="281"/>
      <c r="G80" s="281"/>
      <c r="H80" s="36">
        <v>231.94399999999999</v>
      </c>
      <c r="I80" s="216"/>
      <c r="J80" s="36"/>
      <c r="K80" s="36"/>
      <c r="L80" s="284"/>
      <c r="M80" s="227">
        <f>H80+J80+K80</f>
        <v>231.94399999999999</v>
      </c>
      <c r="N80" s="216"/>
    </row>
    <row r="81" spans="2:15">
      <c r="B81" s="227"/>
      <c r="C81" s="36" t="s">
        <v>104</v>
      </c>
      <c r="D81" s="281"/>
      <c r="E81" s="281"/>
      <c r="F81" s="281"/>
      <c r="G81" s="281"/>
      <c r="H81" s="36">
        <v>200.881</v>
      </c>
      <c r="I81" s="216"/>
      <c r="J81" s="36"/>
      <c r="K81" s="36"/>
      <c r="L81" s="284"/>
      <c r="M81" s="227">
        <f>H81+J81+K81</f>
        <v>200.881</v>
      </c>
      <c r="N81" s="216"/>
    </row>
    <row r="82" spans="2:15">
      <c r="B82" s="216"/>
      <c r="C82" s="71" t="s">
        <v>105</v>
      </c>
      <c r="D82" s="216"/>
      <c r="E82" s="216"/>
      <c r="F82" s="281"/>
      <c r="G82" s="281"/>
      <c r="H82" s="36">
        <v>14.661</v>
      </c>
      <c r="I82" s="216"/>
      <c r="J82" s="36"/>
      <c r="K82" s="36"/>
      <c r="L82" s="284"/>
      <c r="M82" s="227">
        <f>H82+J82+K82</f>
        <v>14.661</v>
      </c>
      <c r="N82" s="216"/>
    </row>
    <row r="83" spans="2:15">
      <c r="B83" s="222" t="s">
        <v>106</v>
      </c>
      <c r="C83" s="222"/>
      <c r="D83" s="222"/>
      <c r="E83" s="222"/>
      <c r="F83" s="281"/>
      <c r="G83" s="281"/>
      <c r="H83" s="73">
        <f>SUM(H79:H82)</f>
        <v>621.83499999999992</v>
      </c>
      <c r="I83" s="216"/>
      <c r="J83" s="73"/>
      <c r="K83" s="73"/>
      <c r="L83" s="284"/>
      <c r="M83" s="285">
        <f>SUM(M79:M82)</f>
        <v>452.48599999999999</v>
      </c>
      <c r="N83" s="216"/>
    </row>
    <row r="84" spans="2:15">
      <c r="B84" s="216"/>
      <c r="C84" s="216"/>
      <c r="D84" s="281"/>
      <c r="E84" s="281"/>
      <c r="F84" s="281"/>
      <c r="G84" s="281"/>
      <c r="I84" s="216"/>
      <c r="L84" s="284"/>
      <c r="M84" s="216"/>
      <c r="N84" s="216"/>
    </row>
    <row r="85" spans="2:15">
      <c r="B85" s="227"/>
      <c r="C85" s="36" t="s">
        <v>107</v>
      </c>
      <c r="D85" s="281"/>
      <c r="E85" s="281"/>
      <c r="F85" s="281"/>
      <c r="G85" s="281"/>
      <c r="H85" s="36">
        <v>225.572</v>
      </c>
      <c r="I85" s="236"/>
      <c r="J85" s="36"/>
      <c r="K85" s="36"/>
      <c r="L85" s="284"/>
      <c r="M85" s="227">
        <f t="shared" ref="M85:M91" si="3">H85+J85+K85</f>
        <v>225.572</v>
      </c>
      <c r="N85" s="216"/>
    </row>
    <row r="86" spans="2:15">
      <c r="B86" s="227"/>
      <c r="C86" s="36" t="s">
        <v>108</v>
      </c>
      <c r="D86" s="281"/>
      <c r="E86" s="281"/>
      <c r="F86" s="281"/>
      <c r="G86" s="281"/>
      <c r="H86" s="36">
        <f>105.374-H87</f>
        <v>97.721999999999994</v>
      </c>
      <c r="I86" s="216"/>
      <c r="J86" s="36"/>
      <c r="K86" s="36"/>
      <c r="L86" s="284"/>
      <c r="M86" s="227">
        <f t="shared" si="3"/>
        <v>97.721999999999994</v>
      </c>
      <c r="N86" s="216"/>
    </row>
    <row r="87" spans="2:15">
      <c r="B87" s="227"/>
      <c r="C87" s="36" t="s">
        <v>109</v>
      </c>
      <c r="D87" s="281"/>
      <c r="E87" s="281"/>
      <c r="F87" s="281"/>
      <c r="G87" s="281"/>
      <c r="H87" s="36">
        <v>7.6520000000000001</v>
      </c>
      <c r="I87" s="216"/>
      <c r="J87" s="36"/>
      <c r="K87" s="36"/>
      <c r="L87" s="283"/>
      <c r="M87" s="227">
        <f t="shared" si="3"/>
        <v>7.6520000000000001</v>
      </c>
      <c r="N87" s="216"/>
    </row>
    <row r="88" spans="2:15">
      <c r="B88" s="227"/>
      <c r="C88" s="36" t="s">
        <v>110</v>
      </c>
      <c r="D88" s="281"/>
      <c r="E88" s="281"/>
      <c r="F88" s="281"/>
      <c r="G88" s="281"/>
      <c r="H88" s="36">
        <v>676.94500000000005</v>
      </c>
      <c r="I88" s="216"/>
      <c r="J88" s="34">
        <f>-H88</f>
        <v>-676.94500000000005</v>
      </c>
      <c r="K88" s="34">
        <f>O67</f>
        <v>4390.4710269899997</v>
      </c>
      <c r="L88" s="283"/>
      <c r="M88" s="227">
        <f t="shared" si="3"/>
        <v>4390.4710269899997</v>
      </c>
      <c r="N88" s="216"/>
    </row>
    <row r="89" spans="2:15">
      <c r="B89" s="227"/>
      <c r="C89" s="36" t="s">
        <v>111</v>
      </c>
      <c r="D89" s="281"/>
      <c r="E89" s="281"/>
      <c r="F89" s="281"/>
      <c r="G89" s="281"/>
      <c r="H89" s="36">
        <v>0</v>
      </c>
      <c r="I89" s="216"/>
      <c r="J89" s="36"/>
      <c r="K89" s="36"/>
      <c r="L89" s="283"/>
      <c r="M89" s="227">
        <f t="shared" si="3"/>
        <v>0</v>
      </c>
      <c r="N89" s="216"/>
    </row>
    <row r="90" spans="2:15">
      <c r="B90" s="227"/>
      <c r="C90" s="36" t="s">
        <v>112</v>
      </c>
      <c r="D90" s="281"/>
      <c r="E90" s="281"/>
      <c r="F90" s="281"/>
      <c r="G90" s="281"/>
      <c r="H90" s="36">
        <f>20.862+58.422+25.243</f>
        <v>104.52699999999999</v>
      </c>
      <c r="I90" s="216"/>
      <c r="J90" s="36"/>
      <c r="K90" s="36"/>
      <c r="L90" s="283"/>
      <c r="M90" s="227">
        <f t="shared" si="3"/>
        <v>104.52699999999999</v>
      </c>
      <c r="N90" s="216"/>
    </row>
    <row r="91" spans="2:15">
      <c r="B91" s="216"/>
      <c r="C91" s="71" t="s">
        <v>113</v>
      </c>
      <c r="D91" s="216"/>
      <c r="E91" s="216"/>
      <c r="F91" s="281"/>
      <c r="G91" s="281"/>
      <c r="H91" s="36">
        <v>0</v>
      </c>
      <c r="I91" s="216"/>
      <c r="K91" s="34">
        <f ca="1">H35</f>
        <v>66.865322431744701</v>
      </c>
      <c r="L91" s="283"/>
      <c r="M91" s="227">
        <f t="shared" ca="1" si="3"/>
        <v>66.865322431744701</v>
      </c>
      <c r="N91" s="216"/>
    </row>
    <row r="92" spans="2:15">
      <c r="B92" s="222" t="s">
        <v>114</v>
      </c>
      <c r="C92" s="222"/>
      <c r="D92" s="222"/>
      <c r="E92" s="222"/>
      <c r="F92" s="281"/>
      <c r="G92" s="281"/>
      <c r="H92" s="75">
        <f>SUM(H83:H91)</f>
        <v>1734.2530000000002</v>
      </c>
      <c r="I92" s="216"/>
      <c r="J92" s="75"/>
      <c r="K92" s="75"/>
      <c r="L92" s="283"/>
      <c r="M92" s="75">
        <f ca="1">SUM(M83:M91)</f>
        <v>5345.2953494217445</v>
      </c>
      <c r="N92" s="216"/>
    </row>
    <row r="93" spans="2:15">
      <c r="B93" s="216"/>
      <c r="C93" s="216"/>
      <c r="D93" s="281"/>
      <c r="E93" s="281"/>
      <c r="F93" s="281"/>
      <c r="G93" s="281"/>
      <c r="I93" s="216"/>
      <c r="L93" s="283"/>
      <c r="M93" s="216"/>
      <c r="N93" s="216"/>
    </row>
    <row r="94" spans="2:15">
      <c r="B94" s="181"/>
      <c r="C94" s="72" t="s">
        <v>115</v>
      </c>
      <c r="D94" s="281"/>
      <c r="E94" s="281"/>
      <c r="F94" s="281"/>
      <c r="G94" s="281"/>
      <c r="H94" s="72">
        <v>105.02800000000001</v>
      </c>
      <c r="I94" s="216"/>
      <c r="J94" s="72"/>
      <c r="K94" s="72"/>
      <c r="L94" s="281"/>
      <c r="M94" s="181">
        <f>H94+J94+K94</f>
        <v>105.02800000000001</v>
      </c>
      <c r="N94" s="216"/>
      <c r="O94" s="216"/>
    </row>
    <row r="95" spans="2:15">
      <c r="B95" s="216"/>
      <c r="C95" s="71" t="s">
        <v>116</v>
      </c>
      <c r="D95" s="281"/>
      <c r="E95" s="281"/>
      <c r="F95" s="281"/>
      <c r="G95" s="281"/>
      <c r="H95" s="36">
        <f>92.657+5.547</f>
        <v>98.203999999999994</v>
      </c>
      <c r="I95" s="216"/>
      <c r="J95" s="36"/>
      <c r="K95" s="36"/>
      <c r="L95" s="283"/>
      <c r="M95" s="227">
        <f t="shared" ref="M95:M96" si="4">H95+J95+K95</f>
        <v>98.203999999999994</v>
      </c>
      <c r="N95" s="216"/>
      <c r="O95" s="216"/>
    </row>
    <row r="96" spans="2:15">
      <c r="B96" s="216"/>
      <c r="C96" s="71" t="s">
        <v>117</v>
      </c>
      <c r="D96" s="216"/>
      <c r="E96" s="216"/>
      <c r="F96" s="281"/>
      <c r="G96" s="281"/>
      <c r="H96" s="36">
        <f>21.537+15.234+90.329</f>
        <v>127.1</v>
      </c>
      <c r="I96" s="216"/>
      <c r="J96" s="36"/>
      <c r="K96" s="36"/>
      <c r="L96" s="281"/>
      <c r="M96" s="227">
        <f t="shared" si="4"/>
        <v>127.1</v>
      </c>
      <c r="N96" s="216"/>
      <c r="O96" s="216"/>
    </row>
    <row r="97" spans="1:15">
      <c r="B97" s="222" t="s">
        <v>118</v>
      </c>
      <c r="C97" s="222"/>
      <c r="D97" s="222"/>
      <c r="E97" s="222"/>
      <c r="F97" s="281"/>
      <c r="G97" s="281"/>
      <c r="H97" s="73">
        <f>SUM(H94:H96)</f>
        <v>330.33199999999999</v>
      </c>
      <c r="I97" s="216"/>
      <c r="J97" s="73"/>
      <c r="K97" s="73"/>
      <c r="L97" s="281"/>
      <c r="M97" s="285">
        <f>SUM(M94:M96)</f>
        <v>330.33199999999999</v>
      </c>
      <c r="N97" s="216"/>
      <c r="O97" s="216"/>
    </row>
    <row r="98" spans="1:15">
      <c r="B98" s="216"/>
      <c r="C98" s="216"/>
      <c r="D98" s="281"/>
      <c r="E98" s="281"/>
      <c r="F98" s="281"/>
      <c r="G98" s="281"/>
      <c r="I98" s="216"/>
      <c r="L98" s="281"/>
      <c r="M98" s="216"/>
      <c r="N98" s="216"/>
      <c r="O98" s="216"/>
    </row>
    <row r="99" spans="1:15">
      <c r="A99" s="78" t="s">
        <v>26</v>
      </c>
      <c r="B99" s="216"/>
      <c r="C99" s="71" t="s">
        <v>119</v>
      </c>
      <c r="D99" s="281"/>
      <c r="E99" s="281"/>
      <c r="F99" s="281"/>
      <c r="G99" s="281"/>
      <c r="H99" s="36">
        <f>99.766</f>
        <v>99.766000000000005</v>
      </c>
      <c r="I99" s="216"/>
      <c r="J99" s="34">
        <f>-H99</f>
        <v>-99.766000000000005</v>
      </c>
      <c r="K99" s="34"/>
      <c r="L99" s="284"/>
      <c r="M99" s="227">
        <f t="shared" ref="M99:M104" si="5">H99+J99+K99</f>
        <v>0</v>
      </c>
      <c r="N99" s="216"/>
      <c r="O99" s="216"/>
    </row>
    <row r="100" spans="1:15">
      <c r="B100" s="216"/>
      <c r="C100" s="71" t="s">
        <v>120</v>
      </c>
      <c r="D100" s="281"/>
      <c r="E100" s="281"/>
      <c r="F100" s="281"/>
      <c r="G100" s="281"/>
      <c r="H100" s="36">
        <v>0</v>
      </c>
      <c r="I100" s="216"/>
      <c r="J100" s="34"/>
      <c r="K100" s="34">
        <f ca="1">H24</f>
        <v>342.79357196916453</v>
      </c>
      <c r="L100" s="216"/>
      <c r="M100" s="227">
        <f t="shared" ca="1" si="5"/>
        <v>342.79357196916453</v>
      </c>
      <c r="N100" s="216"/>
      <c r="O100" s="216"/>
    </row>
    <row r="101" spans="1:15">
      <c r="B101" s="216"/>
      <c r="C101" s="71" t="s">
        <v>40</v>
      </c>
      <c r="D101" s="281"/>
      <c r="E101" s="281"/>
      <c r="F101" s="281"/>
      <c r="G101" s="281"/>
      <c r="H101" s="36">
        <v>0</v>
      </c>
      <c r="I101" s="216"/>
      <c r="J101" s="34"/>
      <c r="K101" s="34">
        <f ca="1">H25</f>
        <v>1536.4277159074934</v>
      </c>
      <c r="L101" s="216"/>
      <c r="M101" s="227">
        <f t="shared" ca="1" si="5"/>
        <v>1536.4277159074934</v>
      </c>
      <c r="N101" s="216"/>
      <c r="O101" s="216"/>
    </row>
    <row r="102" spans="1:15">
      <c r="A102" s="78" t="s">
        <v>26</v>
      </c>
      <c r="B102" s="216"/>
      <c r="C102" s="71" t="s">
        <v>121</v>
      </c>
      <c r="D102" s="281"/>
      <c r="E102" s="281"/>
      <c r="F102" s="281"/>
      <c r="G102" s="281"/>
      <c r="H102" s="36">
        <v>0</v>
      </c>
      <c r="I102" s="216"/>
      <c r="J102" s="34"/>
      <c r="K102" s="34">
        <f ca="1">H26</f>
        <v>819.42811515066319</v>
      </c>
      <c r="L102" s="216"/>
      <c r="M102" s="227">
        <f t="shared" ca="1" si="5"/>
        <v>819.42811515066319</v>
      </c>
      <c r="N102" s="216"/>
      <c r="O102" s="216"/>
    </row>
    <row r="103" spans="1:15">
      <c r="B103" s="216"/>
      <c r="C103" s="71" t="s">
        <v>122</v>
      </c>
      <c r="D103" s="64"/>
      <c r="E103" s="216"/>
      <c r="F103" s="216"/>
      <c r="G103" s="216"/>
      <c r="H103" s="36">
        <v>0</v>
      </c>
      <c r="I103" s="216"/>
      <c r="J103" s="36"/>
      <c r="K103" s="36"/>
      <c r="L103" s="216"/>
      <c r="M103" s="227">
        <f t="shared" si="5"/>
        <v>0</v>
      </c>
      <c r="N103" s="216"/>
      <c r="O103" s="216"/>
    </row>
    <row r="104" spans="1:15">
      <c r="B104" s="216"/>
      <c r="C104" s="71" t="s">
        <v>123</v>
      </c>
      <c r="D104" s="216"/>
      <c r="E104" s="216"/>
      <c r="F104" s="216"/>
      <c r="G104" s="216"/>
      <c r="H104" s="36">
        <f>43.565+68.379</f>
        <v>111.944</v>
      </c>
      <c r="I104" s="216"/>
      <c r="J104" s="36"/>
      <c r="K104" s="36"/>
      <c r="L104" s="216"/>
      <c r="M104" s="227">
        <f t="shared" si="5"/>
        <v>111.944</v>
      </c>
      <c r="N104" s="216"/>
      <c r="O104" s="216"/>
    </row>
    <row r="105" spans="1:15">
      <c r="B105" s="222" t="s">
        <v>124</v>
      </c>
      <c r="C105" s="222"/>
      <c r="D105" s="222"/>
      <c r="E105" s="222"/>
      <c r="F105" s="216"/>
      <c r="G105" s="216"/>
      <c r="H105" s="73">
        <f>SUM(H97:H104)</f>
        <v>542.04200000000003</v>
      </c>
      <c r="I105" s="216"/>
      <c r="J105" s="73"/>
      <c r="K105" s="73"/>
      <c r="L105" s="216"/>
      <c r="M105" s="285">
        <f ca="1">SUM(M97:M104)</f>
        <v>3140.925403027321</v>
      </c>
      <c r="N105" s="216"/>
      <c r="O105" s="216"/>
    </row>
    <row r="106" spans="1:15">
      <c r="B106" s="216"/>
      <c r="C106" s="216"/>
      <c r="D106" s="216"/>
      <c r="E106" s="216"/>
      <c r="F106" s="216"/>
      <c r="G106" s="216"/>
      <c r="I106" s="216"/>
      <c r="L106" s="216"/>
      <c r="M106" s="216"/>
      <c r="N106" s="216"/>
      <c r="O106" s="216"/>
    </row>
    <row r="107" spans="1:15">
      <c r="B107" s="216" t="s">
        <v>125</v>
      </c>
      <c r="C107" s="216"/>
      <c r="D107" s="216"/>
      <c r="E107" s="216"/>
      <c r="F107" s="216"/>
      <c r="G107" s="216"/>
      <c r="H107" s="36">
        <v>1192.211</v>
      </c>
      <c r="I107" s="216"/>
      <c r="J107" s="34">
        <f>-H107-H36</f>
        <v>-1241.2683702699001</v>
      </c>
      <c r="K107" s="34">
        <f ca="1">H28</f>
        <v>2253.4273166643238</v>
      </c>
      <c r="L107" s="216"/>
      <c r="M107" s="227">
        <f t="shared" ref="M107" ca="1" si="6">H107+J107+K107</f>
        <v>2204.369946394424</v>
      </c>
      <c r="N107" s="216"/>
      <c r="O107" s="216"/>
    </row>
    <row r="108" spans="1:15">
      <c r="B108" s="216"/>
      <c r="C108" s="216"/>
      <c r="D108" s="216"/>
      <c r="E108" s="216"/>
      <c r="F108" s="216"/>
      <c r="G108" s="216"/>
      <c r="H108" s="216"/>
      <c r="I108" s="216"/>
      <c r="J108" s="74"/>
      <c r="K108" s="34"/>
      <c r="L108" s="216"/>
      <c r="M108" s="216"/>
      <c r="N108" s="216"/>
      <c r="O108" s="216"/>
    </row>
    <row r="109" spans="1:15">
      <c r="B109" t="s">
        <v>126</v>
      </c>
      <c r="D109" s="216"/>
      <c r="E109" s="216"/>
      <c r="F109" s="216"/>
      <c r="G109" s="216"/>
      <c r="H109" s="76">
        <f>H105+H107</f>
        <v>1734.2530000000002</v>
      </c>
      <c r="I109" s="216"/>
      <c r="J109" s="76"/>
      <c r="K109" s="76"/>
      <c r="L109" s="216"/>
      <c r="M109" s="76">
        <f ca="1">M105+M107</f>
        <v>5345.2953494217454</v>
      </c>
      <c r="N109" s="216"/>
      <c r="O109" s="216"/>
    </row>
    <row r="110" spans="1:15">
      <c r="C110" s="64" t="s">
        <v>127</v>
      </c>
      <c r="D110" s="216"/>
      <c r="E110" s="216"/>
      <c r="F110" s="216"/>
      <c r="G110" s="216"/>
      <c r="H110" s="77">
        <f>H92-H109</f>
        <v>0</v>
      </c>
      <c r="I110" s="216"/>
      <c r="J110" s="77"/>
      <c r="K110" s="77"/>
      <c r="L110" s="216"/>
      <c r="M110" s="77">
        <f ca="1">M92-M109</f>
        <v>0</v>
      </c>
      <c r="N110" s="216"/>
      <c r="O110" s="216"/>
    </row>
    <row r="113" spans="1:24" s="155" customFormat="1" ht="16">
      <c r="A113" s="78" t="s">
        <v>26</v>
      </c>
      <c r="B113" s="78" t="s">
        <v>128</v>
      </c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88" t="str">
        <f>"Purchase price: "&amp;TEXT(H41,"$0.00")&amp;" per share (premium of "&amp;TEXT(H41/D13-1,"0.0%)")</f>
        <v>Purchase price: $102.21 per share (premium of 15.0%)</v>
      </c>
      <c r="R113"/>
      <c r="S113"/>
      <c r="T113"/>
      <c r="U113"/>
      <c r="V113"/>
      <c r="W113"/>
      <c r="X113"/>
    </row>
    <row r="114" spans="1:24">
      <c r="B114" s="78"/>
    </row>
    <row r="115" spans="1:24">
      <c r="A115" s="78" t="s">
        <v>26</v>
      </c>
      <c r="B115" s="78" t="s">
        <v>128</v>
      </c>
      <c r="Q115" s="177" t="s">
        <v>129</v>
      </c>
      <c r="R115" s="177" t="s">
        <v>130</v>
      </c>
      <c r="S115" s="177" t="s">
        <v>131</v>
      </c>
      <c r="T115" s="177" t="s">
        <v>132</v>
      </c>
      <c r="U115" s="177" t="s">
        <v>133</v>
      </c>
      <c r="V115" s="177" t="s">
        <v>134</v>
      </c>
    </row>
    <row r="116" spans="1:24">
      <c r="A116" s="78" t="s">
        <v>26</v>
      </c>
      <c r="B116" s="78" t="s">
        <v>128</v>
      </c>
      <c r="Q116" s="177" t="s">
        <v>30</v>
      </c>
      <c r="R116" s="177" t="s">
        <v>135</v>
      </c>
      <c r="S116" s="177" t="s">
        <v>136</v>
      </c>
      <c r="T116" s="177" t="s">
        <v>136</v>
      </c>
      <c r="U116" s="177" t="s">
        <v>136</v>
      </c>
      <c r="V116" s="177" t="s">
        <v>137</v>
      </c>
      <c r="W116" s="180"/>
      <c r="X116" s="177" t="s">
        <v>138</v>
      </c>
    </row>
    <row r="117" spans="1:24">
      <c r="A117" s="78" t="s">
        <v>26</v>
      </c>
      <c r="B117" s="78" t="s">
        <v>128</v>
      </c>
      <c r="S117" s="184">
        <f ca="1">Returns!L26</f>
        <v>0.20994343458802189</v>
      </c>
      <c r="T117" s="184">
        <f ca="1">Returns!M26</f>
        <v>0.20138571754788639</v>
      </c>
      <c r="U117" s="184">
        <f ca="1">Returns!N26</f>
        <v>0.19352708598731141</v>
      </c>
      <c r="V117" s="185">
        <f ca="1">Ratios!H42</f>
        <v>6.7774149600459399</v>
      </c>
      <c r="W117" s="180"/>
    </row>
    <row r="118" spans="1:24">
      <c r="A118" s="78" t="s">
        <v>26</v>
      </c>
      <c r="B118" s="78" t="s">
        <v>128</v>
      </c>
      <c r="Q118" s="181">
        <f ca="1">R118*$H$29</f>
        <v>1024.2851439383292</v>
      </c>
      <c r="R118" s="286">
        <v>0.2</v>
      </c>
      <c r="S118" s="182"/>
      <c r="T118" s="182"/>
      <c r="U118" s="182"/>
      <c r="V118" s="180"/>
      <c r="W118" s="180"/>
      <c r="X118" s="106">
        <v>0.02</v>
      </c>
    </row>
    <row r="119" spans="1:24">
      <c r="A119" s="78" t="s">
        <v>26</v>
      </c>
      <c r="B119" s="78" t="s">
        <v>128</v>
      </c>
      <c r="Q119" s="32">
        <f t="shared" ref="Q119:Q128" ca="1" si="7">R119*$H$29</f>
        <v>1126.7136583321619</v>
      </c>
      <c r="R119" s="182">
        <f>R118+$X$118</f>
        <v>0.22</v>
      </c>
      <c r="S119" s="182"/>
      <c r="T119" s="182"/>
      <c r="U119" s="182"/>
      <c r="V119" s="180"/>
      <c r="W119" s="180"/>
    </row>
    <row r="120" spans="1:24">
      <c r="A120" s="78" t="s">
        <v>26</v>
      </c>
      <c r="B120" s="78" t="s">
        <v>128</v>
      </c>
      <c r="Q120" s="32">
        <f t="shared" ca="1" si="7"/>
        <v>1229.1421727259947</v>
      </c>
      <c r="R120" s="182">
        <f t="shared" ref="R120:R128" si="8">R119+$X$118</f>
        <v>0.24</v>
      </c>
      <c r="S120" s="182"/>
      <c r="T120" s="182"/>
      <c r="U120" s="182"/>
      <c r="V120" s="180"/>
      <c r="W120" s="180"/>
    </row>
    <row r="121" spans="1:24">
      <c r="A121" s="78" t="s">
        <v>26</v>
      </c>
      <c r="B121" s="78" t="s">
        <v>128</v>
      </c>
      <c r="Q121" s="32">
        <f t="shared" ca="1" si="7"/>
        <v>1331.5706871198279</v>
      </c>
      <c r="R121" s="182">
        <f t="shared" si="8"/>
        <v>0.26</v>
      </c>
      <c r="S121" s="182"/>
      <c r="T121" s="182"/>
      <c r="U121" s="182"/>
      <c r="V121" s="180"/>
      <c r="W121" s="180"/>
    </row>
    <row r="122" spans="1:24">
      <c r="A122" s="78" t="s">
        <v>26</v>
      </c>
      <c r="B122" s="78" t="s">
        <v>128</v>
      </c>
      <c r="Q122" s="32">
        <f t="shared" ca="1" si="7"/>
        <v>1433.9992015136609</v>
      </c>
      <c r="R122" s="182">
        <f t="shared" si="8"/>
        <v>0.28000000000000003</v>
      </c>
      <c r="S122" s="182"/>
      <c r="T122" s="182"/>
      <c r="U122" s="182"/>
      <c r="V122" s="180"/>
      <c r="W122" s="180"/>
    </row>
    <row r="123" spans="1:24">
      <c r="A123" s="78" t="s">
        <v>26</v>
      </c>
      <c r="B123" s="78" t="s">
        <v>128</v>
      </c>
      <c r="Q123" s="32">
        <f t="shared" ca="1" si="7"/>
        <v>1536.4277159074938</v>
      </c>
      <c r="R123" s="182">
        <f t="shared" si="8"/>
        <v>0.30000000000000004</v>
      </c>
      <c r="S123" s="182"/>
      <c r="T123" s="182"/>
      <c r="U123" s="182"/>
      <c r="V123" s="180"/>
      <c r="W123" s="180"/>
    </row>
    <row r="124" spans="1:24">
      <c r="A124" s="78" t="s">
        <v>26</v>
      </c>
      <c r="B124" s="78" t="s">
        <v>128</v>
      </c>
      <c r="Q124" s="32">
        <f t="shared" ca="1" si="7"/>
        <v>1638.8562303013268</v>
      </c>
      <c r="R124" s="182">
        <f t="shared" si="8"/>
        <v>0.32000000000000006</v>
      </c>
      <c r="S124" s="182"/>
      <c r="T124" s="182"/>
      <c r="U124" s="182"/>
      <c r="V124" s="180"/>
      <c r="W124" s="180"/>
    </row>
    <row r="125" spans="1:24">
      <c r="A125" s="78" t="s">
        <v>26</v>
      </c>
      <c r="B125" s="78" t="s">
        <v>128</v>
      </c>
      <c r="Q125" s="32">
        <f t="shared" ca="1" si="7"/>
        <v>1741.2847446951598</v>
      </c>
      <c r="R125" s="182">
        <f t="shared" si="8"/>
        <v>0.34000000000000008</v>
      </c>
      <c r="S125" s="182"/>
      <c r="T125" s="182"/>
      <c r="U125" s="182"/>
      <c r="V125" s="180"/>
      <c r="W125" s="180"/>
    </row>
    <row r="126" spans="1:24">
      <c r="A126" s="78" t="s">
        <v>26</v>
      </c>
      <c r="B126" s="78" t="s">
        <v>128</v>
      </c>
      <c r="Q126" s="32">
        <f t="shared" ca="1" si="7"/>
        <v>1843.7132590889928</v>
      </c>
      <c r="R126" s="182">
        <f t="shared" si="8"/>
        <v>0.3600000000000001</v>
      </c>
      <c r="S126" s="182"/>
      <c r="T126" s="182"/>
      <c r="U126" s="182"/>
      <c r="V126" s="180"/>
      <c r="W126" s="180"/>
    </row>
    <row r="127" spans="1:24">
      <c r="A127" s="78" t="s">
        <v>26</v>
      </c>
      <c r="B127" s="78" t="s">
        <v>128</v>
      </c>
      <c r="Q127" s="32">
        <f t="shared" ca="1" si="7"/>
        <v>1946.1417734828258</v>
      </c>
      <c r="R127" s="182">
        <f t="shared" si="8"/>
        <v>0.38000000000000012</v>
      </c>
      <c r="S127" s="182"/>
      <c r="T127" s="182"/>
      <c r="U127" s="182"/>
      <c r="V127" s="180"/>
      <c r="W127" s="180"/>
    </row>
    <row r="128" spans="1:24">
      <c r="A128" s="78" t="s">
        <v>26</v>
      </c>
      <c r="B128" s="78" t="s">
        <v>128</v>
      </c>
      <c r="Q128" s="32">
        <f t="shared" ca="1" si="7"/>
        <v>2048.5702878766588</v>
      </c>
      <c r="R128" s="182">
        <f t="shared" si="8"/>
        <v>0.40000000000000013</v>
      </c>
      <c r="S128" s="182"/>
      <c r="T128" s="182"/>
      <c r="U128" s="182"/>
      <c r="V128" s="180"/>
      <c r="W128" s="180"/>
    </row>
    <row r="129" spans="1:24">
      <c r="A129" s="78" t="s">
        <v>26</v>
      </c>
      <c r="B129" s="78" t="s">
        <v>128</v>
      </c>
      <c r="Q129" s="76"/>
      <c r="R129" s="182"/>
      <c r="S129" s="64" t="str">
        <f>"Assumes an exit multiple of "&amp;TEXT(N60,"0.0x")&amp;" EBITDA and "&amp;TEXT(K28,"0.0%")&amp;" ownership"</f>
        <v>Assumes an exit multiple of 17.4x EBITDA and 100.0% ownership</v>
      </c>
      <c r="T129" s="182"/>
      <c r="U129" s="182"/>
      <c r="V129" s="180"/>
      <c r="W129" s="180"/>
    </row>
    <row r="130" spans="1:24">
      <c r="A130" s="78" t="s">
        <v>26</v>
      </c>
      <c r="B130" s="78" t="s">
        <v>128</v>
      </c>
      <c r="Q130" s="76"/>
      <c r="S130" s="182"/>
      <c r="T130" s="182"/>
      <c r="U130" s="182"/>
      <c r="V130" s="180"/>
      <c r="W130" s="180"/>
    </row>
    <row r="131" spans="1:24">
      <c r="A131" s="78" t="s">
        <v>26</v>
      </c>
      <c r="B131" s="78" t="s">
        <v>128</v>
      </c>
      <c r="Q131" s="76"/>
      <c r="R131" s="106"/>
      <c r="S131" s="182"/>
      <c r="T131" s="182"/>
      <c r="U131" s="182"/>
      <c r="V131" s="180"/>
      <c r="W131" s="180"/>
    </row>
    <row r="132" spans="1:24" ht="16">
      <c r="A132" s="78" t="s">
        <v>26</v>
      </c>
      <c r="B132" s="78" t="s">
        <v>128</v>
      </c>
      <c r="Q132" s="88" t="str">
        <f>Q113</f>
        <v>Purchase price: $102.21 per share (premium of 15.0%)</v>
      </c>
      <c r="W132" s="180"/>
    </row>
    <row r="133" spans="1:24">
      <c r="A133" s="78" t="s">
        <v>26</v>
      </c>
      <c r="B133" s="78" t="s">
        <v>128</v>
      </c>
      <c r="W133" s="180"/>
    </row>
    <row r="134" spans="1:24">
      <c r="A134" s="78" t="s">
        <v>26</v>
      </c>
      <c r="B134" s="78" t="s">
        <v>128</v>
      </c>
      <c r="Q134" s="177" t="s">
        <v>130</v>
      </c>
      <c r="R134" s="177" t="s">
        <v>129</v>
      </c>
      <c r="S134" s="177" t="s">
        <v>131</v>
      </c>
      <c r="T134" s="177" t="s">
        <v>132</v>
      </c>
      <c r="U134" s="177" t="s">
        <v>133</v>
      </c>
      <c r="V134" s="177" t="s">
        <v>134</v>
      </c>
      <c r="W134" s="180"/>
    </row>
    <row r="135" spans="1:24">
      <c r="A135" s="78" t="s">
        <v>26</v>
      </c>
      <c r="B135" s="78" t="s">
        <v>128</v>
      </c>
      <c r="Q135" s="177" t="s">
        <v>135</v>
      </c>
      <c r="R135" s="177" t="s">
        <v>30</v>
      </c>
      <c r="S135" s="177" t="s">
        <v>136</v>
      </c>
      <c r="T135" s="177" t="s">
        <v>136</v>
      </c>
      <c r="U135" s="177" t="s">
        <v>136</v>
      </c>
      <c r="V135" s="177" t="s">
        <v>137</v>
      </c>
      <c r="W135" s="180"/>
      <c r="X135" s="177" t="s">
        <v>138</v>
      </c>
    </row>
    <row r="136" spans="1:24">
      <c r="A136" s="78" t="s">
        <v>26</v>
      </c>
      <c r="B136" s="78" t="s">
        <v>128</v>
      </c>
      <c r="S136" s="186">
        <f ca="1">Returns!L26</f>
        <v>0.20994343458802189</v>
      </c>
      <c r="T136" s="186">
        <f ca="1">Returns!M26</f>
        <v>0.20138571754788639</v>
      </c>
      <c r="U136" s="186">
        <f ca="1">Returns!N26</f>
        <v>0.19352708598731141</v>
      </c>
      <c r="V136" s="187">
        <f ca="1">Ratios!H42</f>
        <v>6.7774149600459399</v>
      </c>
      <c r="W136" s="180"/>
    </row>
    <row r="137" spans="1:24">
      <c r="A137" s="78" t="s">
        <v>26</v>
      </c>
      <c r="B137" s="78" t="s">
        <v>128</v>
      </c>
      <c r="Q137" s="183">
        <f ca="1">R137/$H$29</f>
        <v>1.8549522183779685E-2</v>
      </c>
      <c r="R137" s="72">
        <v>95</v>
      </c>
      <c r="S137" s="182"/>
      <c r="T137" s="182"/>
      <c r="U137" s="182"/>
      <c r="V137" s="180"/>
      <c r="W137" s="180"/>
      <c r="X137" s="72">
        <v>10</v>
      </c>
    </row>
    <row r="138" spans="1:24">
      <c r="A138" s="78" t="s">
        <v>26</v>
      </c>
      <c r="B138" s="78" t="s">
        <v>128</v>
      </c>
      <c r="Q138" s="183">
        <f t="shared" ref="Q138:Q147" ca="1" si="9">R138/$H$29</f>
        <v>2.0502103466282808E-2</v>
      </c>
      <c r="R138" s="32">
        <f>R137+$X$137</f>
        <v>105</v>
      </c>
      <c r="S138" s="182"/>
      <c r="T138" s="182"/>
      <c r="U138" s="182"/>
      <c r="V138" s="180"/>
      <c r="W138" s="180"/>
    </row>
    <row r="139" spans="1:24">
      <c r="A139" s="78" t="s">
        <v>26</v>
      </c>
      <c r="B139" s="78" t="s">
        <v>128</v>
      </c>
      <c r="Q139" s="183">
        <f t="shared" ca="1" si="9"/>
        <v>2.2454684748785932E-2</v>
      </c>
      <c r="R139" s="32">
        <f t="shared" ref="R139:R147" si="10">R138+$X$137</f>
        <v>115</v>
      </c>
      <c r="S139" s="182"/>
      <c r="T139" s="182"/>
      <c r="U139" s="182"/>
      <c r="V139" s="180"/>
      <c r="W139" s="180"/>
    </row>
    <row r="140" spans="1:24">
      <c r="A140" s="78" t="s">
        <v>26</v>
      </c>
      <c r="B140" s="78" t="s">
        <v>128</v>
      </c>
      <c r="Q140" s="183">
        <f t="shared" ca="1" si="9"/>
        <v>2.4407266031289055E-2</v>
      </c>
      <c r="R140" s="32">
        <f t="shared" si="10"/>
        <v>125</v>
      </c>
      <c r="S140" s="182"/>
      <c r="T140" s="182"/>
      <c r="U140" s="182"/>
      <c r="V140" s="180"/>
      <c r="W140" s="180"/>
    </row>
    <row r="141" spans="1:24">
      <c r="A141" s="78" t="s">
        <v>26</v>
      </c>
      <c r="B141" s="78" t="s">
        <v>128</v>
      </c>
      <c r="Q141" s="183">
        <f t="shared" ca="1" si="9"/>
        <v>2.6359847313792182E-2</v>
      </c>
      <c r="R141" s="32">
        <f t="shared" si="10"/>
        <v>135</v>
      </c>
      <c r="S141" s="182"/>
      <c r="T141" s="182"/>
      <c r="U141" s="182"/>
      <c r="V141" s="180"/>
      <c r="W141" s="180"/>
    </row>
    <row r="142" spans="1:24">
      <c r="A142" s="78" t="s">
        <v>26</v>
      </c>
      <c r="B142" s="78" t="s">
        <v>128</v>
      </c>
      <c r="Q142" s="183">
        <f t="shared" ca="1" si="9"/>
        <v>2.8312428596295305E-2</v>
      </c>
      <c r="R142" s="32">
        <f t="shared" si="10"/>
        <v>145</v>
      </c>
      <c r="S142" s="182"/>
      <c r="T142" s="182"/>
      <c r="U142" s="182"/>
      <c r="V142" s="180"/>
      <c r="W142" s="180"/>
    </row>
    <row r="143" spans="1:24">
      <c r="A143" s="78" t="s">
        <v>26</v>
      </c>
      <c r="B143" s="78" t="s">
        <v>128</v>
      </c>
      <c r="Q143" s="183">
        <f t="shared" ca="1" si="9"/>
        <v>3.0265009878798429E-2</v>
      </c>
      <c r="R143" s="32">
        <f t="shared" si="10"/>
        <v>155</v>
      </c>
      <c r="S143" s="182"/>
      <c r="T143" s="182"/>
      <c r="U143" s="182"/>
      <c r="V143" s="180"/>
      <c r="W143" s="180"/>
    </row>
    <row r="144" spans="1:24">
      <c r="A144" s="78" t="s">
        <v>26</v>
      </c>
      <c r="B144" s="78" t="s">
        <v>128</v>
      </c>
      <c r="Q144" s="183">
        <f t="shared" ca="1" si="9"/>
        <v>3.2217591161301552E-2</v>
      </c>
      <c r="R144" s="32">
        <f t="shared" si="10"/>
        <v>165</v>
      </c>
      <c r="S144" s="182"/>
      <c r="T144" s="182"/>
      <c r="U144" s="182"/>
      <c r="V144" s="180"/>
      <c r="W144" s="180"/>
    </row>
    <row r="145" spans="1:23">
      <c r="A145" s="78" t="s">
        <v>26</v>
      </c>
      <c r="B145" s="78" t="s">
        <v>128</v>
      </c>
      <c r="Q145" s="183">
        <f t="shared" ca="1" si="9"/>
        <v>3.4170172443804679E-2</v>
      </c>
      <c r="R145" s="32">
        <f t="shared" si="10"/>
        <v>175</v>
      </c>
      <c r="S145" s="182"/>
      <c r="T145" s="182"/>
      <c r="U145" s="182"/>
      <c r="V145" s="180"/>
      <c r="W145" s="180"/>
    </row>
    <row r="146" spans="1:23">
      <c r="A146" s="78" t="s">
        <v>26</v>
      </c>
      <c r="B146" s="78" t="s">
        <v>128</v>
      </c>
      <c r="Q146" s="183">
        <f t="shared" ca="1" si="9"/>
        <v>3.6122753726307806E-2</v>
      </c>
      <c r="R146" s="32">
        <f t="shared" si="10"/>
        <v>185</v>
      </c>
      <c r="S146" s="182"/>
      <c r="T146" s="182"/>
      <c r="U146" s="182"/>
      <c r="V146" s="180"/>
      <c r="W146" s="180"/>
    </row>
    <row r="147" spans="1:23">
      <c r="A147" s="78" t="s">
        <v>26</v>
      </c>
      <c r="B147" s="78" t="s">
        <v>128</v>
      </c>
      <c r="Q147" s="183">
        <f t="shared" ca="1" si="9"/>
        <v>3.8075335008810926E-2</v>
      </c>
      <c r="R147" s="32">
        <f t="shared" si="10"/>
        <v>195</v>
      </c>
      <c r="S147" s="182"/>
      <c r="T147" s="182"/>
      <c r="U147" s="182"/>
      <c r="V147" s="180"/>
      <c r="W147" s="180"/>
    </row>
    <row r="148" spans="1:23">
      <c r="Q148" s="76"/>
      <c r="S148" s="64" t="str">
        <f>S129</f>
        <v>Assumes an exit multiple of 17.4x EBITDA and 100.0% ownership</v>
      </c>
      <c r="T148" s="182"/>
      <c r="U148" s="182"/>
      <c r="V148" s="180"/>
      <c r="W148" s="180"/>
    </row>
    <row r="149" spans="1:23">
      <c r="A149" s="78" t="s">
        <v>26</v>
      </c>
      <c r="B149" s="78" t="s">
        <v>139</v>
      </c>
    </row>
  </sheetData>
  <phoneticPr fontId="2" type="noConversion"/>
  <conditionalFormatting sqref="H48:H49">
    <cfRule type="cellIs" dxfId="3" priority="4" stopIfTrue="1" operator="equal">
      <formula>0.000001</formula>
    </cfRule>
  </conditionalFormatting>
  <conditionalFormatting sqref="M44:O44">
    <cfRule type="cellIs" dxfId="2" priority="1" stopIfTrue="1" operator="greaterThan">
      <formula>$Q$44</formula>
    </cfRule>
  </conditionalFormatting>
  <conditionalFormatting sqref="M45:O45">
    <cfRule type="cellIs" dxfId="1" priority="2" stopIfTrue="1" operator="greaterThan">
      <formula>$Q$45</formula>
    </cfRule>
  </conditionalFormatting>
  <printOptions horizontalCentered="1"/>
  <pageMargins left="0.75" right="0.75" top="0.75" bottom="0.75" header="0.5" footer="0.25"/>
  <pageSetup scale="93" orientation="landscape" r:id="rId1"/>
  <headerFooter alignWithMargins="0">
    <oddHeader>&amp;R&amp;8Training The Street, Inc.
&amp;D &amp;T</oddHeader>
    <oddFooter>&amp;L&amp;8COPYRIGHT 2014 © by Training The Street, Inc&amp;C&amp;8&amp;G&amp;R&amp;8For training purposes only!</oddFooter>
  </headerFooter>
  <rowBreaks count="1" manualBreakCount="1">
    <brk id="72" min="1" max="14" man="1"/>
  </rowBreaks>
  <colBreaks count="1" manualBreakCount="1">
    <brk id="15" min="16" max="107" man="1"/>
  </col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7"/>
  <sheetViews>
    <sheetView showGridLines="0" zoomScaleNormal="176" workbookViewId="0"/>
  </sheetViews>
  <sheetFormatPr baseColWidth="10" defaultColWidth="8.83203125" defaultRowHeight="13"/>
  <cols>
    <col min="1" max="1" width="1.83203125" style="98" customWidth="1"/>
    <col min="2" max="3" width="1.83203125" customWidth="1"/>
  </cols>
  <sheetData>
    <row r="1" spans="1:23" ht="18" customHeight="1">
      <c r="A1" s="78"/>
      <c r="B1" s="99" t="str">
        <f>'S&amp;U and Opening BS'!$B$17</f>
        <v>Leveraged Buyout for Brady Coporation</v>
      </c>
      <c r="C1" s="99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23" ht="17" thickBot="1">
      <c r="A2" s="78"/>
      <c r="B2" s="10" t="s">
        <v>140</v>
      </c>
      <c r="C2" s="10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11" t="s">
        <v>28</v>
      </c>
      <c r="O2" s="110">
        <f>FYE</f>
        <v>45869</v>
      </c>
      <c r="P2" s="216"/>
      <c r="Q2" s="216"/>
      <c r="R2" s="216"/>
    </row>
    <row r="3" spans="1:23">
      <c r="A3" s="78"/>
      <c r="B3" s="13" t="str">
        <f>Subheader</f>
        <v>Dollars in Millions, except per share</v>
      </c>
      <c r="C3" s="13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</row>
    <row r="4" spans="1:23">
      <c r="A4" s="78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</row>
    <row r="5" spans="1:23">
      <c r="A5" s="78"/>
      <c r="B5" s="216"/>
      <c r="C5" s="216"/>
      <c r="D5" s="216"/>
      <c r="E5" s="216"/>
      <c r="F5" s="216"/>
      <c r="G5" s="216"/>
      <c r="H5" s="287" t="s">
        <v>141</v>
      </c>
      <c r="I5" s="91" t="s">
        <v>142</v>
      </c>
      <c r="J5" s="288"/>
      <c r="K5" s="288"/>
      <c r="L5" s="288"/>
      <c r="M5" s="288"/>
      <c r="N5" s="288"/>
      <c r="O5" s="288"/>
      <c r="P5" s="216"/>
      <c r="Q5" s="216"/>
    </row>
    <row r="6" spans="1:23">
      <c r="A6" s="78"/>
      <c r="B6" s="216"/>
      <c r="C6" s="216"/>
      <c r="D6" s="216"/>
      <c r="F6" s="216"/>
      <c r="G6" s="216"/>
      <c r="H6" s="136">
        <v>2025</v>
      </c>
      <c r="I6" s="289">
        <f>H6+1</f>
        <v>2026</v>
      </c>
      <c r="J6" s="289">
        <f t="shared" ref="J6:O6" si="0">I6+1</f>
        <v>2027</v>
      </c>
      <c r="K6" s="289">
        <f t="shared" si="0"/>
        <v>2028</v>
      </c>
      <c r="L6" s="289">
        <f t="shared" si="0"/>
        <v>2029</v>
      </c>
      <c r="M6" s="289">
        <f t="shared" si="0"/>
        <v>2030</v>
      </c>
      <c r="N6" s="289">
        <f t="shared" si="0"/>
        <v>2031</v>
      </c>
      <c r="O6" s="289">
        <f t="shared" si="0"/>
        <v>2032</v>
      </c>
      <c r="P6" s="216"/>
      <c r="Q6" s="92"/>
    </row>
    <row r="7" spans="1:23">
      <c r="A7" s="78"/>
      <c r="B7" s="216"/>
      <c r="C7" s="216"/>
      <c r="D7" s="216"/>
      <c r="E7" s="216"/>
      <c r="F7" s="216"/>
      <c r="G7" s="216"/>
      <c r="H7" s="301"/>
      <c r="I7" s="222"/>
      <c r="J7" s="222"/>
      <c r="K7" s="222"/>
      <c r="L7" s="222"/>
      <c r="M7" s="222"/>
      <c r="N7" s="222"/>
      <c r="O7" s="222"/>
      <c r="P7" s="216"/>
      <c r="Q7" s="216"/>
    </row>
    <row r="8" spans="1:23">
      <c r="A8" s="78" t="s">
        <v>26</v>
      </c>
      <c r="B8" s="216" t="s">
        <v>143</v>
      </c>
      <c r="E8" s="216"/>
      <c r="F8" s="216"/>
      <c r="G8" s="216"/>
      <c r="H8" s="159">
        <v>1513.605</v>
      </c>
      <c r="I8" s="93">
        <f t="shared" ref="I8:O8" si="1">H8*(1+I32)</f>
        <v>1589.2852500000001</v>
      </c>
      <c r="J8" s="93">
        <f t="shared" si="1"/>
        <v>1667.1602272499999</v>
      </c>
      <c r="K8" s="93">
        <f t="shared" si="1"/>
        <v>1747.1839181580001</v>
      </c>
      <c r="L8" s="93">
        <f t="shared" si="1"/>
        <v>1829.3015623114259</v>
      </c>
      <c r="M8" s="93">
        <f t="shared" si="1"/>
        <v>1913.4494341777515</v>
      </c>
      <c r="N8" s="93">
        <f t="shared" si="1"/>
        <v>1999.5546587157503</v>
      </c>
      <c r="O8" s="93">
        <f t="shared" si="1"/>
        <v>2087.5350636992434</v>
      </c>
      <c r="P8" s="216"/>
      <c r="Q8" s="216"/>
    </row>
    <row r="9" spans="1:23">
      <c r="A9" s="78"/>
      <c r="B9" s="104" t="s">
        <v>144</v>
      </c>
      <c r="E9" s="216"/>
      <c r="F9" s="216"/>
      <c r="G9" s="216"/>
      <c r="H9" s="332">
        <f>752.783-H16</f>
        <v>712.14400000000001</v>
      </c>
      <c r="I9" s="34">
        <f t="shared" ref="I9:O9" si="2">(1-I36)*I8</f>
        <v>739.01764125</v>
      </c>
      <c r="J9" s="34">
        <f t="shared" si="2"/>
        <v>768.56086476224993</v>
      </c>
      <c r="K9" s="34">
        <f t="shared" si="2"/>
        <v>798.463050598206</v>
      </c>
      <c r="L9" s="34">
        <f t="shared" si="2"/>
        <v>828.67360772707582</v>
      </c>
      <c r="M9" s="34">
        <f t="shared" si="2"/>
        <v>859.13879594581033</v>
      </c>
      <c r="N9" s="34">
        <f t="shared" si="2"/>
        <v>889.80182312850877</v>
      </c>
      <c r="O9" s="34">
        <f t="shared" si="2"/>
        <v>920.60296309136629</v>
      </c>
      <c r="P9" s="216"/>
      <c r="Q9" s="216"/>
    </row>
    <row r="10" spans="1:23">
      <c r="A10" s="78"/>
      <c r="C10" t="s">
        <v>145</v>
      </c>
      <c r="E10" s="216"/>
      <c r="F10" s="216"/>
      <c r="G10" s="216"/>
      <c r="H10" s="333">
        <f>H8-H9</f>
        <v>801.46100000000001</v>
      </c>
      <c r="I10" s="73">
        <f t="shared" ref="I10:O10" si="3">I8-I9</f>
        <v>850.26760875000014</v>
      </c>
      <c r="J10" s="73">
        <f t="shared" si="3"/>
        <v>898.59936248775</v>
      </c>
      <c r="K10" s="73">
        <f t="shared" si="3"/>
        <v>948.7208675597941</v>
      </c>
      <c r="L10" s="73">
        <f t="shared" si="3"/>
        <v>1000.6279545843501</v>
      </c>
      <c r="M10" s="73">
        <f t="shared" si="3"/>
        <v>1054.3106382319411</v>
      </c>
      <c r="N10" s="73">
        <f t="shared" si="3"/>
        <v>1109.7528355872414</v>
      </c>
      <c r="O10" s="73">
        <f t="shared" si="3"/>
        <v>1166.9321006078771</v>
      </c>
      <c r="P10" s="216"/>
      <c r="Q10" s="216"/>
      <c r="T10" s="32"/>
      <c r="U10" s="36"/>
      <c r="V10" s="36"/>
      <c r="W10" s="34"/>
    </row>
    <row r="11" spans="1:23">
      <c r="A11" s="78"/>
      <c r="B11" s="216"/>
      <c r="C11" s="216"/>
      <c r="E11" s="216"/>
      <c r="F11" s="216"/>
      <c r="G11" s="216"/>
      <c r="H11" s="105"/>
      <c r="I11" s="93"/>
      <c r="J11" s="93"/>
      <c r="K11" s="93"/>
      <c r="L11" s="93"/>
      <c r="M11" s="93"/>
      <c r="N11" s="93"/>
      <c r="O11" s="93"/>
      <c r="P11" s="216"/>
      <c r="Q11" s="216"/>
      <c r="T11" s="32"/>
      <c r="U11" s="36"/>
      <c r="V11" s="36"/>
      <c r="W11" s="34"/>
    </row>
    <row r="12" spans="1:23">
      <c r="A12" s="78"/>
      <c r="B12" s="104" t="s">
        <v>146</v>
      </c>
      <c r="E12" s="216"/>
      <c r="F12" s="216"/>
      <c r="G12" s="216"/>
      <c r="H12" s="332">
        <v>444.29500000000002</v>
      </c>
      <c r="I12" s="34">
        <f t="shared" ref="I12:O12" si="4">I8*I37</f>
        <v>460.89272249999999</v>
      </c>
      <c r="J12" s="34">
        <f t="shared" si="4"/>
        <v>478.47498522074994</v>
      </c>
      <c r="K12" s="34">
        <f t="shared" si="4"/>
        <v>496.20023275687197</v>
      </c>
      <c r="L12" s="34">
        <f t="shared" si="4"/>
        <v>514.03373900951067</v>
      </c>
      <c r="M12" s="34">
        <f t="shared" si="4"/>
        <v>531.93894270141482</v>
      </c>
      <c r="N12" s="34">
        <f t="shared" si="4"/>
        <v>549.8775311468313</v>
      </c>
      <c r="O12" s="34">
        <f t="shared" si="4"/>
        <v>567.80953732619412</v>
      </c>
      <c r="P12" s="216"/>
      <c r="Q12" s="216"/>
      <c r="T12" s="32"/>
      <c r="U12" s="36"/>
      <c r="V12" s="36"/>
      <c r="W12" s="34"/>
    </row>
    <row r="13" spans="1:23">
      <c r="A13" s="78"/>
      <c r="B13" s="104" t="s">
        <v>147</v>
      </c>
      <c r="E13" s="216"/>
      <c r="F13" s="216"/>
      <c r="G13" s="216"/>
      <c r="H13" s="332">
        <v>79.888999999999996</v>
      </c>
      <c r="I13" s="34">
        <f t="shared" ref="I13:O13" si="5">I38*I8</f>
        <v>82.64283300000001</v>
      </c>
      <c r="J13" s="34">
        <f t="shared" si="5"/>
        <v>85.025171589749988</v>
      </c>
      <c r="K13" s="34">
        <f t="shared" si="5"/>
        <v>89.106379826058003</v>
      </c>
      <c r="L13" s="34">
        <f t="shared" si="5"/>
        <v>93.294379677882716</v>
      </c>
      <c r="M13" s="34">
        <f t="shared" si="5"/>
        <v>97.58592114306532</v>
      </c>
      <c r="N13" s="34">
        <f t="shared" si="5"/>
        <v>101.97728759450325</v>
      </c>
      <c r="O13" s="34">
        <f t="shared" si="5"/>
        <v>106.4642882486614</v>
      </c>
      <c r="P13" s="216"/>
      <c r="Q13" s="216"/>
      <c r="T13" s="32"/>
      <c r="U13" s="36"/>
      <c r="V13" s="36"/>
      <c r="W13" s="34"/>
    </row>
    <row r="14" spans="1:23">
      <c r="A14" s="78" t="s">
        <v>26</v>
      </c>
      <c r="C14" t="s">
        <v>51</v>
      </c>
      <c r="E14" s="216"/>
      <c r="F14" s="216"/>
      <c r="G14" s="216"/>
      <c r="H14" s="333">
        <f>H10-H12-H13</f>
        <v>277.27699999999999</v>
      </c>
      <c r="I14" s="73">
        <f t="shared" ref="I14:O14" si="6">I10-I12-I13</f>
        <v>306.73205325000015</v>
      </c>
      <c r="J14" s="73">
        <f t="shared" si="6"/>
        <v>335.0992056772501</v>
      </c>
      <c r="K14" s="73">
        <f t="shared" si="6"/>
        <v>363.41425497686413</v>
      </c>
      <c r="L14" s="73">
        <f t="shared" si="6"/>
        <v>393.29983589695667</v>
      </c>
      <c r="M14" s="73">
        <f t="shared" si="6"/>
        <v>424.78577438746095</v>
      </c>
      <c r="N14" s="73">
        <f t="shared" si="6"/>
        <v>457.89801684590685</v>
      </c>
      <c r="O14" s="73">
        <f t="shared" si="6"/>
        <v>492.6582750330216</v>
      </c>
      <c r="P14" s="216"/>
      <c r="Q14" s="216"/>
      <c r="T14" s="32"/>
      <c r="U14" s="36"/>
      <c r="V14" s="36"/>
      <c r="W14" s="34"/>
    </row>
    <row r="15" spans="1:23">
      <c r="A15" s="78"/>
      <c r="E15" s="216"/>
      <c r="F15" s="216"/>
      <c r="G15" s="216"/>
      <c r="H15" s="194"/>
      <c r="I15" s="34"/>
      <c r="J15" s="34"/>
      <c r="K15" s="34"/>
      <c r="L15" s="34"/>
      <c r="M15" s="34"/>
      <c r="N15" s="34"/>
      <c r="O15" s="34"/>
      <c r="P15" s="216"/>
      <c r="Q15" s="216"/>
      <c r="T15" s="32"/>
      <c r="U15" s="36"/>
      <c r="V15" s="36"/>
      <c r="W15" s="34"/>
    </row>
    <row r="16" spans="1:23">
      <c r="A16" s="78"/>
      <c r="B16" s="216" t="s">
        <v>148</v>
      </c>
      <c r="E16" s="216"/>
      <c r="F16" s="216"/>
      <c r="G16" s="216"/>
      <c r="H16" s="332">
        <v>40.639000000000003</v>
      </c>
      <c r="I16" s="290">
        <f>'BS and Cash Flow'!I91</f>
        <v>42</v>
      </c>
      <c r="J16" s="290">
        <f>'BS and Cash Flow'!J91</f>
        <v>44.350223181899999</v>
      </c>
      <c r="K16" s="290">
        <f>'BS and Cash Flow'!K91</f>
        <v>40.189171789262403</v>
      </c>
      <c r="L16" s="290">
        <f>'BS and Cash Flow'!L91</f>
        <v>35.492577239036592</v>
      </c>
      <c r="M16" s="290">
        <f>'BS and Cash Flow'!M91</f>
        <v>30.236817828992379</v>
      </c>
      <c r="N16" s="290">
        <f>'BS and Cash Flow'!N91</f>
        <v>24.399077859920336</v>
      </c>
      <c r="O16" s="290">
        <f>'BS and Cash Flow'!O91</f>
        <v>17.957511056439554</v>
      </c>
      <c r="P16" s="216"/>
    </row>
    <row r="17" spans="1:19">
      <c r="A17" s="78" t="s">
        <v>26</v>
      </c>
      <c r="C17" s="216" t="s">
        <v>149</v>
      </c>
      <c r="E17" s="216"/>
      <c r="F17" s="216"/>
      <c r="G17" s="216"/>
      <c r="H17" s="333">
        <f t="shared" ref="H17:O17" si="7">H14-H16</f>
        <v>236.63799999999998</v>
      </c>
      <c r="I17" s="73">
        <f t="shared" si="7"/>
        <v>264.73205325000015</v>
      </c>
      <c r="J17" s="73">
        <f t="shared" si="7"/>
        <v>290.74898249535011</v>
      </c>
      <c r="K17" s="73">
        <f t="shared" si="7"/>
        <v>323.22508318760174</v>
      </c>
      <c r="L17" s="73">
        <f t="shared" si="7"/>
        <v>357.8072586579201</v>
      </c>
      <c r="M17" s="73">
        <f t="shared" si="7"/>
        <v>394.54895655846855</v>
      </c>
      <c r="N17" s="73">
        <f t="shared" si="7"/>
        <v>433.49893898598651</v>
      </c>
      <c r="O17" s="73">
        <f t="shared" si="7"/>
        <v>474.70076397658204</v>
      </c>
      <c r="P17" s="216"/>
      <c r="Q17" s="216"/>
      <c r="R17" s="216"/>
    </row>
    <row r="18" spans="1:19">
      <c r="A18" s="78"/>
      <c r="B18" s="216"/>
      <c r="C18" s="216"/>
      <c r="D18" s="216"/>
      <c r="E18" s="216"/>
      <c r="F18" s="216"/>
      <c r="G18" s="216"/>
      <c r="H18" s="228"/>
      <c r="I18" s="227"/>
      <c r="J18" s="227"/>
      <c r="K18" s="227"/>
      <c r="L18" s="227"/>
      <c r="M18" s="227"/>
      <c r="N18" s="227"/>
      <c r="O18" s="227"/>
      <c r="P18" s="216"/>
      <c r="Q18" s="216"/>
      <c r="R18" s="216"/>
    </row>
    <row r="19" spans="1:19">
      <c r="A19" s="78"/>
      <c r="B19" s="35" t="s">
        <v>150</v>
      </c>
      <c r="C19" s="35"/>
      <c r="D19" s="216"/>
      <c r="E19" s="216"/>
      <c r="F19" s="216"/>
      <c r="G19" s="94" t="s">
        <v>151</v>
      </c>
      <c r="H19" s="228"/>
      <c r="I19" s="227"/>
      <c r="J19" s="227"/>
      <c r="K19" s="227"/>
      <c r="L19" s="227"/>
      <c r="M19" s="227"/>
      <c r="N19" s="227"/>
      <c r="O19" s="227"/>
      <c r="P19" s="216"/>
      <c r="Q19" s="216"/>
      <c r="R19" s="216"/>
    </row>
    <row r="20" spans="1:19">
      <c r="A20" s="78"/>
      <c r="B20" s="216"/>
      <c r="C20" s="216" t="s">
        <v>152</v>
      </c>
      <c r="E20" s="216"/>
      <c r="F20" s="216"/>
      <c r="G20" s="291">
        <f>'S&amp;U and Opening BS'!J23</f>
        <v>3.7999999999999999E-2</v>
      </c>
      <c r="H20" s="334">
        <f>G20*-'S&amp;U and Opening BS'!M79</f>
        <v>-0.19</v>
      </c>
      <c r="I20" s="227">
        <f ca="1">-AVERAGE('BS and Cash Flow'!H8:I8)*IS!$G$20</f>
        <v>-0.19</v>
      </c>
      <c r="J20" s="227">
        <f ca="1">-AVERAGE('BS and Cash Flow'!I8:J8)*IS!$G$20</f>
        <v>-0.19</v>
      </c>
      <c r="K20" s="227">
        <f ca="1">-AVERAGE('BS and Cash Flow'!J8:K8)*IS!$G$20</f>
        <v>-0.19</v>
      </c>
      <c r="L20" s="227">
        <f ca="1">-AVERAGE('BS and Cash Flow'!K8:L8)*IS!$G$20</f>
        <v>-0.19</v>
      </c>
      <c r="M20" s="227">
        <f ca="1">-AVERAGE('BS and Cash Flow'!L8:M8)*IS!$G$20</f>
        <v>-0.19</v>
      </c>
      <c r="N20" s="227">
        <f ca="1">-AVERAGE('BS and Cash Flow'!M8:N8)*IS!$G$20</f>
        <v>-0.19</v>
      </c>
      <c r="O20" s="227">
        <f ca="1">-AVERAGE('BS and Cash Flow'!N8:O8)*IS!$G$20</f>
        <v>-0.19</v>
      </c>
      <c r="P20" s="216"/>
      <c r="Q20" s="216"/>
      <c r="R20" s="216"/>
    </row>
    <row r="21" spans="1:19">
      <c r="A21" s="78"/>
      <c r="B21" s="216"/>
      <c r="C21" s="216" t="s">
        <v>39</v>
      </c>
      <c r="E21" s="216"/>
      <c r="F21" s="216"/>
      <c r="G21" s="291">
        <f>'S&amp;U and Opening BS'!J24</f>
        <v>5.5E-2</v>
      </c>
      <c r="H21" s="334">
        <f ca="1">G21*'S&amp;U and Opening BS'!M100</f>
        <v>18.853646458304048</v>
      </c>
      <c r="I21" s="227">
        <f ca="1">AVERAGE('BS and Cash Flow'!H29:I29)*IS!$G$21</f>
        <v>16.495991672921409</v>
      </c>
      <c r="J21" s="227">
        <f ca="1">AVERAGE('BS and Cash Flow'!I29:J29)*IS!$G$21</f>
        <v>9.4796585174438022</v>
      </c>
      <c r="K21" s="227">
        <f ca="1">AVERAGE('BS and Cash Flow'!J29:K29)*IS!$G$21</f>
        <v>5.5570060903755314</v>
      </c>
      <c r="L21" s="227">
        <f ca="1">AVERAGE('BS and Cash Flow'!K29:L29)*IS!$G$21</f>
        <v>8.4689392702462314</v>
      </c>
      <c r="M21" s="227">
        <f ca="1">AVERAGE('BS and Cash Flow'!L29:M29)*IS!$G$21</f>
        <v>11.901675456968182</v>
      </c>
      <c r="N21" s="227">
        <f ca="1">AVERAGE('BS and Cash Flow'!M29:N29)*IS!$G$21</f>
        <v>13.435569445333075</v>
      </c>
      <c r="O21" s="227">
        <f ca="1">AVERAGE('BS and Cash Flow'!N29:O29)*IS!$G$21</f>
        <v>12.946786357172442</v>
      </c>
      <c r="P21" s="216"/>
      <c r="Q21" s="216"/>
      <c r="R21" s="216"/>
    </row>
    <row r="22" spans="1:19">
      <c r="A22" s="78"/>
      <c r="B22" s="216"/>
      <c r="C22" s="216" t="s">
        <v>153</v>
      </c>
      <c r="E22" s="216"/>
      <c r="F22" s="216"/>
      <c r="G22" s="291">
        <f>'S&amp;U and Opening BS'!J25</f>
        <v>6.5000000000000002E-2</v>
      </c>
      <c r="H22" s="334">
        <f ca="1">G22*'S&amp;U and Opening BS'!M101</f>
        <v>99.867801533987077</v>
      </c>
      <c r="I22" s="227">
        <f ca="1">AVERAGE('BS and Cash Flow'!H30:I30)*IS!$G$22</f>
        <v>99.867801533987077</v>
      </c>
      <c r="J22" s="227">
        <f ca="1">AVERAGE('BS and Cash Flow'!I30:J30)*IS!$G$22</f>
        <v>99.867801533987077</v>
      </c>
      <c r="K22" s="227">
        <f ca="1">AVERAGE('BS and Cash Flow'!J30:K30)*IS!$G$22</f>
        <v>92.589562756744542</v>
      </c>
      <c r="L22" s="227">
        <f ca="1">AVERAGE('BS and Cash Flow'!K30:L30)*IS!$G$22</f>
        <v>75.324543826103294</v>
      </c>
      <c r="M22" s="227">
        <f ca="1">AVERAGE('BS and Cash Flow'!L30:M30)*IS!$G$22</f>
        <v>55.350983519305878</v>
      </c>
      <c r="N22" s="227">
        <f ca="1">AVERAGE('BS and Cash Flow'!M30:N30)*IS!$G$22</f>
        <v>35.377423212508454</v>
      </c>
      <c r="O22" s="227">
        <f ca="1">AVERAGE('BS and Cash Flow'!N30:O30)*IS!$G$22</f>
        <v>15.403862905711044</v>
      </c>
      <c r="P22" s="216"/>
      <c r="Q22" s="216"/>
      <c r="R22" s="216"/>
    </row>
    <row r="23" spans="1:19">
      <c r="A23" s="78"/>
      <c r="B23" s="216"/>
      <c r="C23" s="216" t="s">
        <v>41</v>
      </c>
      <c r="E23" s="216"/>
      <c r="F23" s="216"/>
      <c r="G23" s="291">
        <f>'S&amp;U and Opening BS'!J26</f>
        <v>8.5000000000000006E-2</v>
      </c>
      <c r="H23" s="334">
        <f ca="1">G23*'S&amp;U and Opening BS'!M102</f>
        <v>69.65138978780638</v>
      </c>
      <c r="I23" s="227">
        <f ca="1">AVERAGE('BS and Cash Flow'!H31:I31)*IS!$G$23</f>
        <v>69.65138978780638</v>
      </c>
      <c r="J23" s="227">
        <f ca="1">AVERAGE('BS and Cash Flow'!I31:J31)*IS!$G$23</f>
        <v>69.65138978780638</v>
      </c>
      <c r="K23" s="227">
        <f ca="1">AVERAGE('BS and Cash Flow'!J31:K31)*IS!$G$23</f>
        <v>69.65138978780638</v>
      </c>
      <c r="L23" s="227">
        <f ca="1">AVERAGE('BS and Cash Flow'!K31:L31)*IS!$G$23</f>
        <v>69.65138978780638</v>
      </c>
      <c r="M23" s="227">
        <f ca="1">AVERAGE('BS and Cash Flow'!L31:M31)*IS!$G$23</f>
        <v>69.65138978780638</v>
      </c>
      <c r="N23" s="227">
        <f ca="1">AVERAGE('BS and Cash Flow'!M31:N31)*IS!$G$23</f>
        <v>69.65138978780638</v>
      </c>
      <c r="O23" s="227">
        <f ca="1">AVERAGE('BS and Cash Flow'!N31:O31)*IS!$G$23</f>
        <v>69.65138978780638</v>
      </c>
      <c r="P23" s="216"/>
      <c r="Q23" s="370" t="s">
        <v>154</v>
      </c>
      <c r="R23" s="368"/>
      <c r="S23" s="369"/>
    </row>
    <row r="24" spans="1:19">
      <c r="A24" s="78"/>
      <c r="B24" s="216"/>
      <c r="C24" s="216" t="s">
        <v>155</v>
      </c>
      <c r="E24" s="216"/>
      <c r="F24" s="216"/>
      <c r="G24" s="216"/>
      <c r="H24" s="296">
        <f ca="1">'S&amp;U and Opening BS'!$O$29</f>
        <v>8.4986384850555332</v>
      </c>
      <c r="I24" s="290">
        <f ca="1">'S&amp;U and Opening BS'!$O$29</f>
        <v>8.4986384850555332</v>
      </c>
      <c r="J24" s="290">
        <f ca="1">'S&amp;U and Opening BS'!$O$29</f>
        <v>8.4986384850555332</v>
      </c>
      <c r="K24" s="290">
        <f ca="1">'S&amp;U and Opening BS'!$O$29</f>
        <v>8.4986384850555332</v>
      </c>
      <c r="L24" s="290">
        <f ca="1">'S&amp;U and Opening BS'!$O$29</f>
        <v>8.4986384850555332</v>
      </c>
      <c r="M24" s="290">
        <f ca="1">'S&amp;U and Opening BS'!$O$29</f>
        <v>8.4986384850555332</v>
      </c>
      <c r="N24" s="290">
        <f ca="1">'S&amp;U and Opening BS'!$O$29</f>
        <v>8.4986384850555332</v>
      </c>
      <c r="O24" s="290">
        <f ca="1">'S&amp;U and Opening BS'!$O$29</f>
        <v>8.4986384850555332</v>
      </c>
      <c r="P24" s="216"/>
      <c r="Q24" s="371">
        <v>2</v>
      </c>
      <c r="R24" s="367" t="s">
        <v>156</v>
      </c>
      <c r="S24" s="216"/>
    </row>
    <row r="25" spans="1:19">
      <c r="A25" s="78" t="s">
        <v>26</v>
      </c>
      <c r="C25" s="216"/>
      <c r="D25" s="216" t="s">
        <v>157</v>
      </c>
      <c r="E25" s="216"/>
      <c r="F25" s="216"/>
      <c r="G25" s="216"/>
      <c r="H25" s="298">
        <f ca="1">SUM(H20:H24)</f>
        <v>196.68147626515301</v>
      </c>
      <c r="I25" s="285">
        <f t="shared" ref="I25:O25" ca="1" si="8">SUM(I20:I24)</f>
        <v>194.32382147977037</v>
      </c>
      <c r="J25" s="285">
        <f t="shared" ca="1" si="8"/>
        <v>187.30748832429279</v>
      </c>
      <c r="K25" s="285">
        <f t="shared" ca="1" si="8"/>
        <v>176.10659711998196</v>
      </c>
      <c r="L25" s="285">
        <f t="shared" ca="1" si="8"/>
        <v>161.75351136921142</v>
      </c>
      <c r="M25" s="285">
        <f t="shared" ca="1" si="8"/>
        <v>145.21268724913597</v>
      </c>
      <c r="N25" s="285">
        <f t="shared" ca="1" si="8"/>
        <v>126.77302093070345</v>
      </c>
      <c r="O25" s="285">
        <f t="shared" ca="1" si="8"/>
        <v>106.3106775357454</v>
      </c>
      <c r="P25" s="216"/>
      <c r="Q25" s="216"/>
      <c r="R25" s="367" t="s">
        <v>158</v>
      </c>
      <c r="S25" s="216"/>
    </row>
    <row r="26" spans="1:19">
      <c r="A26" s="78"/>
      <c r="B26" s="216"/>
      <c r="C26" s="216"/>
      <c r="D26" s="216"/>
      <c r="E26" s="216"/>
      <c r="F26" s="216"/>
      <c r="G26" s="216"/>
      <c r="H26" s="228"/>
      <c r="I26" s="227"/>
      <c r="J26" s="227"/>
      <c r="K26" s="227"/>
      <c r="L26" s="227"/>
      <c r="M26" s="227"/>
      <c r="N26" s="227"/>
      <c r="O26" s="227"/>
      <c r="P26" s="216"/>
      <c r="Q26" s="216"/>
      <c r="R26" s="367" t="s">
        <v>159</v>
      </c>
      <c r="S26" s="216"/>
    </row>
    <row r="27" spans="1:19">
      <c r="A27" s="78"/>
      <c r="B27" s="216" t="s">
        <v>160</v>
      </c>
      <c r="C27" s="216"/>
      <c r="D27" s="216"/>
      <c r="E27" s="216"/>
      <c r="F27" s="216"/>
      <c r="G27" s="216"/>
      <c r="H27" s="228">
        <f ca="1">H17-H25</f>
        <v>39.956523734846968</v>
      </c>
      <c r="I27" s="227">
        <f ca="1">I17-I25</f>
        <v>70.408231770229776</v>
      </c>
      <c r="J27" s="227">
        <f t="shared" ref="J27:O27" ca="1" si="9">J17-J25</f>
        <v>103.44149417105731</v>
      </c>
      <c r="K27" s="227">
        <f t="shared" ca="1" si="9"/>
        <v>147.11848606761978</v>
      </c>
      <c r="L27" s="227">
        <f t="shared" ca="1" si="9"/>
        <v>196.05374728870868</v>
      </c>
      <c r="M27" s="227">
        <f t="shared" ca="1" si="9"/>
        <v>249.33626930933258</v>
      </c>
      <c r="N27" s="227">
        <f t="shared" ca="1" si="9"/>
        <v>306.72591805528305</v>
      </c>
      <c r="O27" s="227">
        <f t="shared" ca="1" si="9"/>
        <v>368.39008644083663</v>
      </c>
      <c r="P27" s="216"/>
      <c r="Q27" s="216"/>
      <c r="R27" s="216"/>
    </row>
    <row r="28" spans="1:19">
      <c r="A28" s="78"/>
      <c r="B28" s="216"/>
      <c r="C28" s="216" t="s">
        <v>161</v>
      </c>
      <c r="E28" s="216"/>
      <c r="F28" s="216"/>
      <c r="G28" s="216"/>
      <c r="H28" s="332">
        <v>47.841000000000001</v>
      </c>
      <c r="I28" s="227">
        <f t="shared" ref="I28:O28" ca="1" si="10">I44*I27</f>
        <v>14.785728671748252</v>
      </c>
      <c r="J28" s="227">
        <f t="shared" ca="1" si="10"/>
        <v>21.722713775922035</v>
      </c>
      <c r="K28" s="227">
        <f t="shared" ca="1" si="10"/>
        <v>30.894882074200154</v>
      </c>
      <c r="L28" s="227">
        <f t="shared" ca="1" si="10"/>
        <v>41.171286930628824</v>
      </c>
      <c r="M28" s="227">
        <f t="shared" ca="1" si="10"/>
        <v>52.36061655495984</v>
      </c>
      <c r="N28" s="227">
        <f t="shared" ca="1" si="10"/>
        <v>64.412442791609436</v>
      </c>
      <c r="O28" s="227">
        <f t="shared" ca="1" si="10"/>
        <v>77.361918152575683</v>
      </c>
      <c r="P28" s="216"/>
      <c r="Q28" s="216"/>
      <c r="R28" s="216"/>
    </row>
    <row r="29" spans="1:19">
      <c r="A29" s="78" t="s">
        <v>26</v>
      </c>
      <c r="B29" s="95" t="s">
        <v>162</v>
      </c>
      <c r="D29" s="95"/>
      <c r="E29" s="95"/>
      <c r="F29" s="95"/>
      <c r="G29" s="95"/>
      <c r="H29" s="189">
        <f ca="1">H27-H28</f>
        <v>-7.8844762651530331</v>
      </c>
      <c r="I29" s="96">
        <f t="shared" ref="I29:O29" ca="1" si="11">I27-I28</f>
        <v>55.622503098481523</v>
      </c>
      <c r="J29" s="372">
        <f t="shared" ca="1" si="11"/>
        <v>81.718780395135283</v>
      </c>
      <c r="K29" s="372">
        <f t="shared" ca="1" si="11"/>
        <v>116.22360399341963</v>
      </c>
      <c r="L29" s="372">
        <f t="shared" ca="1" si="11"/>
        <v>154.88246035807987</v>
      </c>
      <c r="M29" s="372">
        <f t="shared" ca="1" si="11"/>
        <v>196.97565275437273</v>
      </c>
      <c r="N29" s="372">
        <f t="shared" ca="1" si="11"/>
        <v>242.31347526367361</v>
      </c>
      <c r="O29" s="372">
        <f t="shared" ca="1" si="11"/>
        <v>291.02816828826093</v>
      </c>
      <c r="P29" s="95"/>
      <c r="Q29" s="95"/>
      <c r="R29" s="95"/>
    </row>
    <row r="30" spans="1:19">
      <c r="A30" s="78"/>
      <c r="B30" s="216"/>
      <c r="C30" s="216"/>
      <c r="D30" s="216"/>
      <c r="E30" s="216"/>
      <c r="F30" s="216"/>
      <c r="G30" s="216"/>
      <c r="H30" s="225"/>
      <c r="I30" s="216"/>
      <c r="J30" s="216"/>
      <c r="K30" s="216"/>
      <c r="L30" s="216"/>
      <c r="M30" s="216"/>
      <c r="N30" s="216"/>
      <c r="O30" s="216"/>
      <c r="P30" s="216"/>
      <c r="Q30" s="216"/>
      <c r="R30" s="216"/>
    </row>
    <row r="31" spans="1:19">
      <c r="A31" s="78"/>
      <c r="B31" s="216"/>
      <c r="C31" s="216"/>
      <c r="D31" s="216"/>
      <c r="E31" s="216"/>
      <c r="F31" s="216"/>
      <c r="G31" s="216"/>
      <c r="H31" s="225"/>
      <c r="I31" s="216"/>
      <c r="J31" s="216"/>
      <c r="K31" s="216"/>
      <c r="L31" s="216"/>
      <c r="M31" s="216"/>
      <c r="N31" s="216"/>
      <c r="O31" s="216"/>
      <c r="P31" s="216"/>
      <c r="Q31" s="157" t="s">
        <v>138</v>
      </c>
      <c r="R31" s="216"/>
    </row>
    <row r="32" spans="1:19">
      <c r="A32" s="78"/>
      <c r="B32" s="216" t="s">
        <v>163</v>
      </c>
      <c r="C32" s="216"/>
      <c r="D32" s="216"/>
      <c r="E32" s="216"/>
      <c r="F32" s="216"/>
      <c r="G32" s="216"/>
      <c r="H32" s="335"/>
      <c r="I32" s="366">
        <f t="shared" ref="I32:O32" si="12">CHOOSE(case,I33,I34,I35)</f>
        <v>0.05</v>
      </c>
      <c r="J32" s="366">
        <f t="shared" si="12"/>
        <v>4.9000000000000002E-2</v>
      </c>
      <c r="K32" s="366">
        <f t="shared" si="12"/>
        <v>4.8000000000000001E-2</v>
      </c>
      <c r="L32" s="366">
        <f t="shared" si="12"/>
        <v>4.7E-2</v>
      </c>
      <c r="M32" s="366">
        <f t="shared" si="12"/>
        <v>4.5999999999999999E-2</v>
      </c>
      <c r="N32" s="366">
        <f t="shared" si="12"/>
        <v>4.4999999999999998E-2</v>
      </c>
      <c r="O32" s="366">
        <f t="shared" si="12"/>
        <v>4.3999999999999997E-2</v>
      </c>
      <c r="P32" s="366"/>
      <c r="Q32" s="366">
        <f>CHOOSE(case,Q33,Q34,Q35)</f>
        <v>-1E-3</v>
      </c>
      <c r="R32" s="216"/>
    </row>
    <row r="33" spans="1:18">
      <c r="A33" s="78"/>
      <c r="B33" s="216"/>
      <c r="C33" s="216"/>
      <c r="D33" s="216"/>
      <c r="E33" s="216"/>
      <c r="F33" s="216"/>
      <c r="G33" s="216"/>
      <c r="H33" s="335" t="s">
        <v>164</v>
      </c>
      <c r="I33" s="97">
        <v>0.06</v>
      </c>
      <c r="J33" s="292">
        <f>I33+$Q$33</f>
        <v>0.06</v>
      </c>
      <c r="K33" s="292">
        <f t="shared" ref="K33:O33" si="13">J33+$Q$33</f>
        <v>0.06</v>
      </c>
      <c r="L33" s="292">
        <f t="shared" si="13"/>
        <v>0.06</v>
      </c>
      <c r="M33" s="292">
        <f t="shared" si="13"/>
        <v>0.06</v>
      </c>
      <c r="N33" s="292">
        <f t="shared" si="13"/>
        <v>0.06</v>
      </c>
      <c r="O33" s="292">
        <f t="shared" si="13"/>
        <v>0.06</v>
      </c>
      <c r="P33" s="216"/>
      <c r="Q33" s="97">
        <v>0</v>
      </c>
      <c r="R33" s="216"/>
    </row>
    <row r="34" spans="1:18">
      <c r="A34" s="78"/>
      <c r="B34" s="216"/>
      <c r="C34" s="216"/>
      <c r="D34" s="216"/>
      <c r="E34" s="216"/>
      <c r="F34" s="216"/>
      <c r="G34" s="216"/>
      <c r="H34" s="335" t="s">
        <v>165</v>
      </c>
      <c r="I34" s="97">
        <v>0.05</v>
      </c>
      <c r="J34" s="292">
        <f t="shared" ref="J34:J35" si="14">I34+$Q$32</f>
        <v>4.9000000000000002E-2</v>
      </c>
      <c r="K34" s="292">
        <f t="shared" ref="K34:K35" si="15">J34+$Q$32</f>
        <v>4.8000000000000001E-2</v>
      </c>
      <c r="L34" s="292">
        <f>K34+$Q$32</f>
        <v>4.7E-2</v>
      </c>
      <c r="M34" s="292">
        <f>L34+$Q$32</f>
        <v>4.5999999999999999E-2</v>
      </c>
      <c r="N34" s="292">
        <f t="shared" ref="N34:N35" si="16">M34+$Q$32</f>
        <v>4.4999999999999998E-2</v>
      </c>
      <c r="O34" s="292">
        <f t="shared" ref="O34:O35" si="17">N34+$Q$32</f>
        <v>4.3999999999999997E-2</v>
      </c>
      <c r="P34" s="216"/>
      <c r="Q34" s="97">
        <v>-1E-3</v>
      </c>
      <c r="R34" s="216"/>
    </row>
    <row r="35" spans="1:18">
      <c r="A35" s="78"/>
      <c r="B35" s="216"/>
      <c r="C35" s="216"/>
      <c r="D35" s="216"/>
      <c r="E35" s="216"/>
      <c r="F35" s="216"/>
      <c r="G35" s="216"/>
      <c r="H35" s="335" t="s">
        <v>166</v>
      </c>
      <c r="I35" s="97">
        <v>0.04</v>
      </c>
      <c r="J35" s="292">
        <f t="shared" si="14"/>
        <v>3.9E-2</v>
      </c>
      <c r="K35" s="292">
        <f t="shared" si="15"/>
        <v>3.7999999999999999E-2</v>
      </c>
      <c r="L35" s="292">
        <f t="shared" ref="L35" si="18">K35+$Q$32</f>
        <v>3.6999999999999998E-2</v>
      </c>
      <c r="M35" s="292">
        <f t="shared" ref="M35" si="19">L35+$Q$32</f>
        <v>3.5999999999999997E-2</v>
      </c>
      <c r="N35" s="292">
        <f t="shared" si="16"/>
        <v>3.4999999999999996E-2</v>
      </c>
      <c r="O35" s="292">
        <f t="shared" si="17"/>
        <v>3.3999999999999996E-2</v>
      </c>
      <c r="P35" s="216"/>
      <c r="Q35" s="97">
        <v>-3.0000000000000001E-3</v>
      </c>
      <c r="R35" s="216"/>
    </row>
    <row r="36" spans="1:18">
      <c r="A36" s="78"/>
      <c r="B36" t="s">
        <v>167</v>
      </c>
      <c r="C36" s="216"/>
      <c r="D36" s="216"/>
      <c r="E36" s="216"/>
      <c r="F36" s="216"/>
      <c r="G36" s="216"/>
      <c r="H36" s="302">
        <f>H10/H8</f>
        <v>0.52950472547329064</v>
      </c>
      <c r="I36" s="97">
        <v>0.53500000000000003</v>
      </c>
      <c r="J36" s="292">
        <f>I36+$Q$36</f>
        <v>0.53900000000000003</v>
      </c>
      <c r="K36" s="292">
        <f t="shared" ref="K36:O36" si="20">J36+$Q$36</f>
        <v>0.54300000000000004</v>
      </c>
      <c r="L36" s="292">
        <f t="shared" si="20"/>
        <v>0.54700000000000004</v>
      </c>
      <c r="M36" s="292">
        <f t="shared" si="20"/>
        <v>0.55100000000000005</v>
      </c>
      <c r="N36" s="292">
        <f t="shared" si="20"/>
        <v>0.55500000000000005</v>
      </c>
      <c r="O36" s="292">
        <f t="shared" si="20"/>
        <v>0.55900000000000005</v>
      </c>
      <c r="P36" s="216"/>
      <c r="Q36" s="97">
        <v>4.0000000000000001E-3</v>
      </c>
      <c r="R36" s="216"/>
    </row>
    <row r="37" spans="1:18">
      <c r="A37" s="78"/>
      <c r="B37" t="s">
        <v>168</v>
      </c>
      <c r="C37" s="216"/>
      <c r="D37" s="216"/>
      <c r="E37" s="216"/>
      <c r="F37" s="216"/>
      <c r="G37" s="216"/>
      <c r="H37" s="302">
        <f>H12/H8</f>
        <v>0.29353431047069745</v>
      </c>
      <c r="I37" s="97">
        <v>0.28999999999999998</v>
      </c>
      <c r="J37" s="292">
        <f>I37+$Q$37</f>
        <v>0.28699999999999998</v>
      </c>
      <c r="K37" s="292">
        <f t="shared" ref="K37:O37" si="21">J37+$Q$37</f>
        <v>0.28399999999999997</v>
      </c>
      <c r="L37" s="292">
        <f t="shared" si="21"/>
        <v>0.28099999999999997</v>
      </c>
      <c r="M37" s="292">
        <f t="shared" si="21"/>
        <v>0.27799999999999997</v>
      </c>
      <c r="N37" s="292">
        <f t="shared" si="21"/>
        <v>0.27499999999999997</v>
      </c>
      <c r="O37" s="292">
        <f t="shared" si="21"/>
        <v>0.27199999999999996</v>
      </c>
      <c r="P37" s="216"/>
      <c r="Q37" s="97">
        <v>-3.0000000000000001E-3</v>
      </c>
      <c r="R37" s="216"/>
    </row>
    <row r="38" spans="1:18">
      <c r="A38" s="78"/>
      <c r="B38" s="216" t="s">
        <v>169</v>
      </c>
      <c r="C38" s="216"/>
      <c r="D38" s="216"/>
      <c r="E38" s="216"/>
      <c r="F38" s="216"/>
      <c r="G38" s="216"/>
      <c r="H38" s="302">
        <f>H13/H8</f>
        <v>5.278061317186452E-2</v>
      </c>
      <c r="I38" s="97">
        <v>5.1999999999999998E-2</v>
      </c>
      <c r="J38" s="292">
        <v>5.0999999999999997E-2</v>
      </c>
      <c r="K38" s="292">
        <f t="shared" ref="K38:O38" si="22">J38+$Q$38</f>
        <v>5.0999999999999997E-2</v>
      </c>
      <c r="L38" s="292">
        <f t="shared" si="22"/>
        <v>5.0999999999999997E-2</v>
      </c>
      <c r="M38" s="292">
        <f t="shared" si="22"/>
        <v>5.0999999999999997E-2</v>
      </c>
      <c r="N38" s="292">
        <f t="shared" si="22"/>
        <v>5.0999999999999997E-2</v>
      </c>
      <c r="O38" s="292">
        <f t="shared" si="22"/>
        <v>5.0999999999999997E-2</v>
      </c>
      <c r="P38" s="216"/>
      <c r="Q38" s="97">
        <v>0</v>
      </c>
      <c r="R38" s="216"/>
    </row>
    <row r="39" spans="1:18">
      <c r="A39" s="78"/>
      <c r="B39" s="216"/>
      <c r="C39" s="216"/>
      <c r="D39" s="216"/>
      <c r="E39" s="216"/>
      <c r="F39" s="216"/>
      <c r="G39" s="216"/>
      <c r="H39" s="225"/>
      <c r="I39" s="97"/>
      <c r="J39" s="292"/>
      <c r="K39" s="292"/>
      <c r="L39" s="292"/>
      <c r="M39" s="292"/>
      <c r="N39" s="292"/>
      <c r="O39" s="292"/>
      <c r="P39" s="216"/>
      <c r="Q39" s="97"/>
      <c r="R39" s="216"/>
    </row>
    <row r="40" spans="1:18">
      <c r="A40" s="78"/>
      <c r="B40" s="216" t="s">
        <v>170</v>
      </c>
      <c r="C40" s="216"/>
      <c r="D40" s="216"/>
      <c r="E40" s="216"/>
      <c r="F40" s="216"/>
      <c r="G40" s="216"/>
      <c r="H40" s="335"/>
      <c r="I40" s="292">
        <f t="shared" ref="I40:O40" ca="1" si="23">I29/H29-1</f>
        <v>-8.0546858444251939</v>
      </c>
      <c r="J40" s="292">
        <f t="shared" ca="1" si="23"/>
        <v>0.46916761819311548</v>
      </c>
      <c r="K40" s="292">
        <f t="shared" ca="1" si="23"/>
        <v>0.42223860208685182</v>
      </c>
      <c r="L40" s="292">
        <f t="shared" ca="1" si="23"/>
        <v>0.33262482866087195</v>
      </c>
      <c r="M40" s="292">
        <f t="shared" ca="1" si="23"/>
        <v>0.27177507575083504</v>
      </c>
      <c r="N40" s="292">
        <f t="shared" ca="1" si="23"/>
        <v>0.23016967770040497</v>
      </c>
      <c r="O40" s="292">
        <f t="shared" ca="1" si="23"/>
        <v>0.2010399668098457</v>
      </c>
      <c r="P40" s="216"/>
      <c r="Q40" s="216"/>
      <c r="R40" s="216"/>
    </row>
    <row r="41" spans="1:18">
      <c r="A41" s="78"/>
      <c r="B41" s="216" t="s">
        <v>171</v>
      </c>
      <c r="C41" s="216"/>
      <c r="D41" s="216"/>
      <c r="E41" s="216"/>
      <c r="F41" s="216"/>
      <c r="G41" s="216"/>
      <c r="H41" s="303">
        <f>H14/H8</f>
        <v>0.18318980183072861</v>
      </c>
      <c r="I41" s="292">
        <f t="shared" ref="I41:O41" si="24">I14/I8</f>
        <v>0.19300000000000009</v>
      </c>
      <c r="J41" s="292">
        <f t="shared" si="24"/>
        <v>0.20100000000000007</v>
      </c>
      <c r="K41" s="292">
        <f t="shared" si="24"/>
        <v>0.20800000000000007</v>
      </c>
      <c r="L41" s="292">
        <f t="shared" si="24"/>
        <v>0.21500000000000005</v>
      </c>
      <c r="M41" s="292">
        <f t="shared" si="24"/>
        <v>0.22200000000000006</v>
      </c>
      <c r="N41" s="292">
        <f t="shared" si="24"/>
        <v>0.22900000000000001</v>
      </c>
      <c r="O41" s="292">
        <f t="shared" si="24"/>
        <v>0.23600000000000007</v>
      </c>
      <c r="P41" s="216"/>
      <c r="Q41" s="97"/>
      <c r="R41" s="216"/>
    </row>
    <row r="42" spans="1:18">
      <c r="A42" s="78"/>
      <c r="B42" s="216" t="s">
        <v>172</v>
      </c>
      <c r="C42" s="216"/>
      <c r="D42" s="216"/>
      <c r="E42" s="216"/>
      <c r="F42" s="216"/>
      <c r="G42" s="216"/>
      <c r="H42" s="303">
        <f t="shared" ref="H42:O42" si="25">H17/H8</f>
        <v>0.15634065690850649</v>
      </c>
      <c r="I42" s="292">
        <f t="shared" si="25"/>
        <v>0.16657302598762566</v>
      </c>
      <c r="J42" s="292">
        <f t="shared" si="25"/>
        <v>0.17439774398585786</v>
      </c>
      <c r="K42" s="292">
        <f t="shared" si="25"/>
        <v>0.18499774398585786</v>
      </c>
      <c r="L42" s="292">
        <f t="shared" si="25"/>
        <v>0.19559774398585786</v>
      </c>
      <c r="M42" s="292">
        <f t="shared" si="25"/>
        <v>0.20619774398585783</v>
      </c>
      <c r="N42" s="292">
        <f t="shared" si="25"/>
        <v>0.2167977439858578</v>
      </c>
      <c r="O42" s="292">
        <f t="shared" si="25"/>
        <v>0.22739774398585785</v>
      </c>
      <c r="P42" s="216"/>
      <c r="Q42" s="216"/>
      <c r="R42" s="216"/>
    </row>
    <row r="43" spans="1:18">
      <c r="A43" s="78"/>
      <c r="B43" s="216"/>
      <c r="C43" s="216"/>
      <c r="D43" s="216"/>
      <c r="E43" s="216"/>
      <c r="F43" s="216"/>
      <c r="G43" s="216"/>
      <c r="H43" s="225"/>
      <c r="I43" s="216"/>
      <c r="J43" s="216"/>
      <c r="K43" s="216"/>
      <c r="L43" s="216"/>
      <c r="M43" s="216"/>
      <c r="N43" s="216"/>
      <c r="O43" s="216"/>
      <c r="P43" s="216"/>
      <c r="Q43" s="216"/>
      <c r="R43" s="216"/>
    </row>
    <row r="44" spans="1:18">
      <c r="A44" s="78" t="s">
        <v>26</v>
      </c>
      <c r="B44" s="216" t="s">
        <v>173</v>
      </c>
      <c r="C44" s="216"/>
      <c r="D44" s="216"/>
      <c r="E44" s="216"/>
      <c r="F44" s="216"/>
      <c r="G44" s="216"/>
      <c r="H44" s="336">
        <v>0.21</v>
      </c>
      <c r="I44" s="292">
        <f>H44</f>
        <v>0.21</v>
      </c>
      <c r="J44" s="292">
        <f>I44</f>
        <v>0.21</v>
      </c>
      <c r="K44" s="292">
        <f t="shared" ref="K44:O44" si="26">J44</f>
        <v>0.21</v>
      </c>
      <c r="L44" s="292">
        <f t="shared" si="26"/>
        <v>0.21</v>
      </c>
      <c r="M44" s="292">
        <f t="shared" si="26"/>
        <v>0.21</v>
      </c>
      <c r="N44" s="292">
        <f t="shared" si="26"/>
        <v>0.21</v>
      </c>
      <c r="O44" s="292">
        <f t="shared" si="26"/>
        <v>0.21</v>
      </c>
      <c r="P44" s="216"/>
      <c r="Q44" s="216"/>
      <c r="R44" s="216"/>
    </row>
    <row r="45" spans="1:18">
      <c r="A45" s="78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</row>
    <row r="46" spans="1:18">
      <c r="A46" s="78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</row>
    <row r="47" spans="1:18">
      <c r="A47" s="78" t="s">
        <v>26</v>
      </c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</row>
  </sheetData>
  <phoneticPr fontId="2" type="noConversion"/>
  <conditionalFormatting sqref="I8:O10 H10:O10 I12:O14 H14:O14 G20:G23 H27:O27 I28:O28 H29:O29 I40:O40 H41:O42">
    <cfRule type="cellIs" dxfId="0" priority="1" stopIfTrue="1" operator="equal">
      <formula>0.000001</formula>
    </cfRule>
  </conditionalFormatting>
  <printOptions horizontalCentered="1"/>
  <pageMargins left="0.75" right="0.75" top="0.75" bottom="0.75" header="0.5" footer="0.25"/>
  <pageSetup scale="97" orientation="landscape" r:id="rId1"/>
  <headerFooter alignWithMargins="0">
    <oddHeader>&amp;R&amp;8Training The Street, Inc.
&amp;D &amp;T</oddHeader>
    <oddFooter>&amp;L&amp;8COPYRIGHT 2014 © by Training The Street, Inc&amp;C&amp;8&amp;G&amp;R&amp;8For training purposes only!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6"/>
  <sheetViews>
    <sheetView showGridLines="0" zoomScale="112" zoomScaleNormal="100" workbookViewId="0"/>
  </sheetViews>
  <sheetFormatPr baseColWidth="10" defaultColWidth="8.83203125" defaultRowHeight="13"/>
  <cols>
    <col min="1" max="1" width="1.83203125" style="98" customWidth="1"/>
    <col min="2" max="3" width="1.83203125" customWidth="1"/>
    <col min="8" max="8" width="9.6640625" bestFit="1" customWidth="1"/>
    <col min="10" max="10" width="8.83203125" customWidth="1"/>
  </cols>
  <sheetData>
    <row r="1" spans="1:18" ht="18" customHeight="1">
      <c r="A1" s="78"/>
      <c r="B1" s="99" t="str">
        <f>'S&amp;U and Opening BS'!$B$17</f>
        <v>Leveraged Buyout for Brady Coporation</v>
      </c>
      <c r="C1" s="99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100"/>
      <c r="R1" s="216"/>
    </row>
    <row r="2" spans="1:18" ht="16.5" customHeight="1" thickBot="1">
      <c r="A2" s="78"/>
      <c r="B2" s="10" t="s">
        <v>174</v>
      </c>
      <c r="C2" s="10"/>
      <c r="D2" s="221"/>
      <c r="E2" s="221"/>
      <c r="F2" s="221"/>
      <c r="G2" s="221"/>
      <c r="H2" s="221"/>
      <c r="I2" s="221"/>
      <c r="J2" s="221"/>
      <c r="K2" s="221"/>
      <c r="L2" s="221"/>
      <c r="M2" s="11"/>
      <c r="N2" s="11" t="s">
        <v>28</v>
      </c>
      <c r="O2" s="154">
        <f>FYE</f>
        <v>45869</v>
      </c>
      <c r="P2" s="216"/>
    </row>
    <row r="3" spans="1:18">
      <c r="A3" s="78"/>
      <c r="B3" s="13" t="str">
        <f>Subheader</f>
        <v>Dollars in Millions, except per share</v>
      </c>
      <c r="C3" s="293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</row>
    <row r="4" spans="1:18" ht="13" customHeight="1">
      <c r="A4" s="78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</row>
    <row r="5" spans="1:18">
      <c r="A5" s="78"/>
      <c r="B5" s="216"/>
      <c r="C5" s="216"/>
      <c r="D5" s="216"/>
      <c r="E5" s="216"/>
      <c r="F5" s="216"/>
      <c r="G5" s="216"/>
      <c r="H5" s="287" t="str">
        <f>IS!H5</f>
        <v>Pro Forma</v>
      </c>
      <c r="I5" s="142" t="str">
        <f>IS!I5</f>
        <v>Projected Fiscal Year</v>
      </c>
      <c r="J5" s="288"/>
      <c r="K5" s="288"/>
      <c r="L5" s="288"/>
      <c r="M5" s="288"/>
      <c r="N5" s="288"/>
      <c r="O5" s="288"/>
      <c r="P5" s="216"/>
      <c r="Q5" s="216"/>
    </row>
    <row r="6" spans="1:18">
      <c r="A6" s="78"/>
      <c r="B6" s="216"/>
      <c r="C6" s="216"/>
      <c r="D6" s="216"/>
      <c r="E6" s="216"/>
      <c r="F6" s="216"/>
      <c r="G6" s="216"/>
      <c r="H6" s="136">
        <v>2025</v>
      </c>
      <c r="I6" s="289">
        <f>H6+1</f>
        <v>2026</v>
      </c>
      <c r="J6" s="289">
        <f t="shared" ref="J6:O6" si="0">I6+1</f>
        <v>2027</v>
      </c>
      <c r="K6" s="289">
        <f t="shared" si="0"/>
        <v>2028</v>
      </c>
      <c r="L6" s="289">
        <f t="shared" si="0"/>
        <v>2029</v>
      </c>
      <c r="M6" s="289">
        <f t="shared" si="0"/>
        <v>2030</v>
      </c>
      <c r="N6" s="289">
        <f t="shared" si="0"/>
        <v>2031</v>
      </c>
      <c r="O6" s="289">
        <f t="shared" si="0"/>
        <v>2032</v>
      </c>
      <c r="P6" s="216"/>
    </row>
    <row r="7" spans="1:18">
      <c r="A7" s="78"/>
      <c r="B7" s="216"/>
      <c r="C7" s="216"/>
      <c r="D7" s="216"/>
      <c r="E7" s="216"/>
      <c r="F7" s="216"/>
      <c r="G7" s="216"/>
      <c r="H7" s="160"/>
      <c r="I7" s="294"/>
      <c r="J7" s="294"/>
      <c r="K7" s="294"/>
      <c r="L7" s="294"/>
      <c r="M7" s="294"/>
      <c r="N7" s="294"/>
      <c r="O7" s="294"/>
      <c r="P7" s="216"/>
      <c r="Q7" s="216"/>
    </row>
    <row r="8" spans="1:18">
      <c r="A8" s="78" t="s">
        <v>26</v>
      </c>
      <c r="B8" s="281"/>
      <c r="C8" s="295" t="str">
        <f>'S&amp;U and Opening BS'!C79</f>
        <v>Cash</v>
      </c>
      <c r="D8" s="216"/>
      <c r="E8" s="216"/>
      <c r="H8" s="245">
        <f>'S&amp;U and Opening BS'!M79</f>
        <v>5</v>
      </c>
      <c r="I8" s="181">
        <f t="shared" ref="I8:O8" ca="1" si="1">I73</f>
        <v>5</v>
      </c>
      <c r="J8" s="181">
        <f t="shared" ca="1" si="1"/>
        <v>5</v>
      </c>
      <c r="K8" s="181">
        <f t="shared" ca="1" si="1"/>
        <v>5</v>
      </c>
      <c r="L8" s="181">
        <f t="shared" ca="1" si="1"/>
        <v>5</v>
      </c>
      <c r="M8" s="181">
        <f t="shared" ca="1" si="1"/>
        <v>5</v>
      </c>
      <c r="N8" s="181">
        <f t="shared" ca="1" si="1"/>
        <v>5</v>
      </c>
      <c r="O8" s="181">
        <f t="shared" ca="1" si="1"/>
        <v>5</v>
      </c>
      <c r="P8" s="216"/>
      <c r="Q8" s="216"/>
    </row>
    <row r="9" spans="1:18">
      <c r="A9" s="78"/>
      <c r="B9" s="281"/>
      <c r="C9" s="295" t="str">
        <f>'S&amp;U and Opening BS'!C80</f>
        <v>Accounts Receivable, net</v>
      </c>
      <c r="D9" s="216"/>
      <c r="E9" s="216"/>
      <c r="H9" s="296">
        <f>'S&amp;U and Opening BS'!M80</f>
        <v>231.94399999999999</v>
      </c>
      <c r="I9" s="227">
        <f>(I81/Days)*IS!I8</f>
        <v>243.54119999999998</v>
      </c>
      <c r="J9" s="227">
        <f>(J81/Days)*IS!J8</f>
        <v>248.62337540034244</v>
      </c>
      <c r="K9" s="227">
        <f>(K81/Days)*IS!K8</f>
        <v>253.37708953671779</v>
      </c>
      <c r="L9" s="227">
        <f>(L81/Days)*IS!L8</f>
        <v>257.76813509160883</v>
      </c>
      <c r="M9" s="227">
        <f>(M81/Days)*IS!M8</f>
        <v>261.76197848043489</v>
      </c>
      <c r="N9" s="227">
        <f>(N81/Days)*IS!N8</f>
        <v>265.32391959952395</v>
      </c>
      <c r="O9" s="227">
        <f>(O81/Days)*IS!O8</f>
        <v>268.41926084122122</v>
      </c>
      <c r="P9" s="216"/>
      <c r="Q9" s="216"/>
    </row>
    <row r="10" spans="1:18">
      <c r="A10" s="78"/>
      <c r="B10" s="281"/>
      <c r="C10" s="295" t="str">
        <f>'S&amp;U and Opening BS'!C81</f>
        <v>Inventories</v>
      </c>
      <c r="D10" s="216"/>
      <c r="E10" s="216"/>
      <c r="H10" s="296">
        <f>'S&amp;U and Opening BS'!M81</f>
        <v>200.881</v>
      </c>
      <c r="I10" s="227">
        <f>(I82/Days)*IS!I9</f>
        <v>208.46149485489065</v>
      </c>
      <c r="J10" s="227">
        <f>(J82/Days)*IS!J9</f>
        <v>212.58373089224</v>
      </c>
      <c r="K10" s="227">
        <f>(K82/Days)*IS!K9</f>
        <v>216.47952754250491</v>
      </c>
      <c r="L10" s="227">
        <f>(L82/Days)*IS!L9</f>
        <v>220.12954501174517</v>
      </c>
      <c r="M10" s="227">
        <f>(M82/Days)*IS!M9</f>
        <v>223.51473305753692</v>
      </c>
      <c r="N10" s="227">
        <f>(N82/Days)*IS!N9</f>
        <v>226.61644203533089</v>
      </c>
      <c r="O10" s="227">
        <f>(O82/Days)*IS!O9</f>
        <v>229.41653588501325</v>
      </c>
      <c r="P10" s="216"/>
      <c r="Q10" s="216"/>
    </row>
    <row r="11" spans="1:18">
      <c r="A11" s="78"/>
      <c r="B11" s="281"/>
      <c r="C11" s="295" t="str">
        <f>'S&amp;U and Opening BS'!C82</f>
        <v>Other Current Assets</v>
      </c>
      <c r="D11" s="216"/>
      <c r="E11" s="216"/>
      <c r="H11" s="296">
        <f>'S&amp;U and Opening BS'!M82</f>
        <v>14.661</v>
      </c>
      <c r="I11" s="227">
        <f>I83*IS!I8</f>
        <v>15.39405</v>
      </c>
      <c r="J11" s="227">
        <f>J83*IS!J8</f>
        <v>16.148358449999996</v>
      </c>
      <c r="K11" s="227">
        <f>K83*IS!K8</f>
        <v>16.923479655600001</v>
      </c>
      <c r="L11" s="227">
        <f>L83*IS!L8</f>
        <v>17.718883199413199</v>
      </c>
      <c r="M11" s="227">
        <f>M83*IS!M8</f>
        <v>18.533951826586204</v>
      </c>
      <c r="N11" s="227">
        <f>N83*IS!N8</f>
        <v>19.367979658782584</v>
      </c>
      <c r="O11" s="227">
        <f>O83*IS!O8</f>
        <v>20.220170763769019</v>
      </c>
      <c r="P11" s="216"/>
      <c r="Q11" s="216"/>
    </row>
    <row r="12" spans="1:18">
      <c r="A12" s="78"/>
      <c r="B12" s="297" t="s">
        <v>106</v>
      </c>
      <c r="C12" s="297"/>
      <c r="D12" s="222"/>
      <c r="E12" s="222"/>
      <c r="F12" s="16"/>
      <c r="H12" s="298">
        <f>'S&amp;U and Opening BS'!M83</f>
        <v>452.48599999999999</v>
      </c>
      <c r="I12" s="285">
        <f ca="1">SUM(I8:I11)</f>
        <v>472.39674485489058</v>
      </c>
      <c r="J12" s="285">
        <f t="shared" ref="J12:O12" ca="1" si="2">SUM(J8:J11)</f>
        <v>482.35546474258246</v>
      </c>
      <c r="K12" s="285">
        <f t="shared" ca="1" si="2"/>
        <v>491.78009673482268</v>
      </c>
      <c r="L12" s="285">
        <f t="shared" ca="1" si="2"/>
        <v>500.61656330276719</v>
      </c>
      <c r="M12" s="285">
        <f t="shared" ca="1" si="2"/>
        <v>508.81066336455797</v>
      </c>
      <c r="N12" s="285">
        <f t="shared" ca="1" si="2"/>
        <v>516.30834129363745</v>
      </c>
      <c r="O12" s="285">
        <f t="shared" ca="1" si="2"/>
        <v>523.05596749000347</v>
      </c>
      <c r="P12" s="216"/>
      <c r="Q12" s="216"/>
    </row>
    <row r="13" spans="1:18">
      <c r="A13" s="78"/>
      <c r="B13" s="281"/>
      <c r="C13" s="281"/>
      <c r="D13" s="216"/>
      <c r="E13" s="216"/>
      <c r="H13" s="225"/>
      <c r="I13" s="216"/>
      <c r="J13" s="216"/>
      <c r="K13" s="216"/>
      <c r="L13" s="216"/>
      <c r="M13" s="216"/>
      <c r="N13" s="216"/>
      <c r="O13" s="216"/>
      <c r="P13" s="216"/>
      <c r="Q13" s="216"/>
    </row>
    <row r="14" spans="1:18">
      <c r="A14" s="78" t="s">
        <v>26</v>
      </c>
      <c r="B14" s="281"/>
      <c r="C14" s="295" t="str">
        <f>'S&amp;U and Opening BS'!C85</f>
        <v>PP&amp;E, net</v>
      </c>
      <c r="D14" s="216"/>
      <c r="E14" s="216"/>
      <c r="H14" s="296">
        <f>'S&amp;U and Opening BS'!M85</f>
        <v>225.572</v>
      </c>
      <c r="I14" s="227">
        <f>H14+I88-I91</f>
        <v>223.572</v>
      </c>
      <c r="J14" s="227">
        <f t="shared" ref="J14:O14" si="3">I14+J88-J91</f>
        <v>216.18029613635002</v>
      </c>
      <c r="K14" s="227">
        <f t="shared" si="3"/>
        <v>209.48210083813962</v>
      </c>
      <c r="L14" s="227">
        <f t="shared" si="3"/>
        <v>203.56667129830018</v>
      </c>
      <c r="M14" s="227">
        <f t="shared" si="3"/>
        <v>198.52720166013478</v>
      </c>
      <c r="N14" s="227">
        <f t="shared" si="3"/>
        <v>194.46068868348138</v>
      </c>
      <c r="O14" s="227">
        <f t="shared" si="3"/>
        <v>191.46777017407479</v>
      </c>
      <c r="P14" s="216"/>
      <c r="Q14" s="216"/>
    </row>
    <row r="15" spans="1:18">
      <c r="A15" s="78"/>
      <c r="B15" s="281"/>
      <c r="C15" s="295" t="str">
        <f>'S&amp;U and Opening BS'!C86</f>
        <v>Definite Life Intangibles</v>
      </c>
      <c r="D15" s="216"/>
      <c r="E15" s="216"/>
      <c r="H15" s="296">
        <f>'S&amp;U and Opening BS'!M86</f>
        <v>97.721999999999994</v>
      </c>
      <c r="I15" s="227">
        <f>H15+I94</f>
        <v>97.721999999999994</v>
      </c>
      <c r="J15" s="227">
        <f t="shared" ref="J15:O15" si="4">I15+J94</f>
        <v>97.721999999999994</v>
      </c>
      <c r="K15" s="227">
        <f t="shared" si="4"/>
        <v>97.721999999999994</v>
      </c>
      <c r="L15" s="227">
        <f t="shared" si="4"/>
        <v>97.721999999999994</v>
      </c>
      <c r="M15" s="227">
        <f t="shared" si="4"/>
        <v>97.721999999999994</v>
      </c>
      <c r="N15" s="227">
        <f t="shared" si="4"/>
        <v>97.721999999999994</v>
      </c>
      <c r="O15" s="227">
        <f t="shared" si="4"/>
        <v>97.721999999999994</v>
      </c>
      <c r="P15" s="216"/>
      <c r="Q15" s="216"/>
    </row>
    <row r="16" spans="1:18">
      <c r="A16" s="78"/>
      <c r="B16" s="281"/>
      <c r="C16" s="295" t="str">
        <f>'S&amp;U and Opening BS'!C87</f>
        <v>Indefinite Life Intangibles</v>
      </c>
      <c r="D16" s="216"/>
      <c r="E16" s="216"/>
      <c r="H16" s="296">
        <f>'S&amp;U and Opening BS'!M87</f>
        <v>7.6520000000000001</v>
      </c>
      <c r="I16" s="74">
        <f>H16</f>
        <v>7.6520000000000001</v>
      </c>
      <c r="J16" s="227">
        <f>I16</f>
        <v>7.6520000000000001</v>
      </c>
      <c r="K16" s="227">
        <f t="shared" ref="K16:O16" si="5">J16</f>
        <v>7.6520000000000001</v>
      </c>
      <c r="L16" s="227">
        <f t="shared" si="5"/>
        <v>7.6520000000000001</v>
      </c>
      <c r="M16" s="227">
        <f t="shared" si="5"/>
        <v>7.6520000000000001</v>
      </c>
      <c r="N16" s="227">
        <f t="shared" si="5"/>
        <v>7.6520000000000001</v>
      </c>
      <c r="O16" s="227">
        <f t="shared" si="5"/>
        <v>7.6520000000000001</v>
      </c>
      <c r="P16" s="216"/>
      <c r="Q16" s="216"/>
    </row>
    <row r="17" spans="1:17">
      <c r="A17" s="78"/>
      <c r="B17" s="281"/>
      <c r="C17" s="295" t="str">
        <f>'S&amp;U and Opening BS'!C88</f>
        <v>Goodwill</v>
      </c>
      <c r="D17" s="216"/>
      <c r="E17" s="216"/>
      <c r="H17" s="296">
        <f>'S&amp;U and Opening BS'!M88</f>
        <v>4390.4710269899997</v>
      </c>
      <c r="I17" s="74">
        <f>H17</f>
        <v>4390.4710269899997</v>
      </c>
      <c r="J17" s="376">
        <f t="shared" ref="J17:O17" si="6">I17</f>
        <v>4390.4710269899997</v>
      </c>
      <c r="K17" s="376">
        <f t="shared" si="6"/>
        <v>4390.4710269899997</v>
      </c>
      <c r="L17" s="376">
        <f t="shared" si="6"/>
        <v>4390.4710269899997</v>
      </c>
      <c r="M17" s="376">
        <f t="shared" si="6"/>
        <v>4390.4710269899997</v>
      </c>
      <c r="N17" s="376">
        <f t="shared" si="6"/>
        <v>4390.4710269899997</v>
      </c>
      <c r="O17" s="376">
        <f t="shared" si="6"/>
        <v>4390.4710269899997</v>
      </c>
      <c r="P17" s="216"/>
      <c r="Q17" s="216"/>
    </row>
    <row r="18" spans="1:17">
      <c r="A18" s="78"/>
      <c r="B18" s="281"/>
      <c r="C18" s="295" t="str">
        <f>'S&amp;U and Opening BS'!C89</f>
        <v>Long-Term Investment</v>
      </c>
      <c r="D18" s="216"/>
      <c r="E18" s="216"/>
      <c r="H18" s="296">
        <f>'S&amp;U and Opening BS'!M89</f>
        <v>0</v>
      </c>
      <c r="I18" s="36">
        <v>0</v>
      </c>
      <c r="J18" s="227">
        <v>0</v>
      </c>
      <c r="K18" s="227">
        <v>0</v>
      </c>
      <c r="L18" s="227">
        <v>0</v>
      </c>
      <c r="M18" s="227">
        <v>0</v>
      </c>
      <c r="N18" s="227">
        <v>0</v>
      </c>
      <c r="O18" s="227">
        <v>0</v>
      </c>
      <c r="P18" s="216"/>
      <c r="Q18" s="216"/>
    </row>
    <row r="19" spans="1:17">
      <c r="A19" s="78"/>
      <c r="B19" s="281"/>
      <c r="C19" s="295" t="str">
        <f>'S&amp;U and Opening BS'!C90</f>
        <v>Other Non-Current Assets</v>
      </c>
      <c r="D19" s="216"/>
      <c r="E19" s="216"/>
      <c r="H19" s="296">
        <f>'S&amp;U and Opening BS'!M90</f>
        <v>104.52699999999999</v>
      </c>
      <c r="I19" s="36">
        <f>H19</f>
        <v>104.52699999999999</v>
      </c>
      <c r="J19" s="227">
        <f>I19</f>
        <v>104.52699999999999</v>
      </c>
      <c r="K19" s="227">
        <f t="shared" ref="K19:O19" si="7">J19</f>
        <v>104.52699999999999</v>
      </c>
      <c r="L19" s="227">
        <f t="shared" si="7"/>
        <v>104.52699999999999</v>
      </c>
      <c r="M19" s="227">
        <f t="shared" si="7"/>
        <v>104.52699999999999</v>
      </c>
      <c r="N19" s="227">
        <f t="shared" si="7"/>
        <v>104.52699999999999</v>
      </c>
      <c r="O19" s="227">
        <f t="shared" si="7"/>
        <v>104.52699999999999</v>
      </c>
      <c r="P19" s="216"/>
      <c r="Q19" s="216"/>
    </row>
    <row r="20" spans="1:17">
      <c r="A20" s="78"/>
      <c r="B20" s="281"/>
      <c r="C20" s="295" t="str">
        <f>'S&amp;U and Opening BS'!C91</f>
        <v>Deferred Financing Fees</v>
      </c>
      <c r="D20" s="216"/>
      <c r="E20" s="216"/>
      <c r="H20" s="296">
        <f ca="1">'S&amp;U and Opening BS'!M91</f>
        <v>66.865322431744701</v>
      </c>
      <c r="I20" s="227">
        <v>0</v>
      </c>
      <c r="J20" s="227">
        <v>0</v>
      </c>
      <c r="K20" s="227">
        <v>0</v>
      </c>
      <c r="L20" s="227">
        <v>0</v>
      </c>
      <c r="M20" s="227">
        <v>0</v>
      </c>
      <c r="N20" s="227">
        <v>0</v>
      </c>
      <c r="O20" s="227">
        <v>0</v>
      </c>
      <c r="P20" s="216"/>
      <c r="Q20" s="216"/>
    </row>
    <row r="21" spans="1:17" s="28" customFormat="1">
      <c r="A21" s="144"/>
      <c r="B21" s="145" t="s">
        <v>114</v>
      </c>
      <c r="C21" s="145"/>
      <c r="D21" s="133"/>
      <c r="E21" s="133"/>
      <c r="F21" s="133"/>
      <c r="H21" s="189">
        <f ca="1">'S&amp;U and Opening BS'!M92</f>
        <v>5345.2953494217445</v>
      </c>
      <c r="I21" s="96">
        <f ca="1">SUM(I12:I20)</f>
        <v>5296.3407718448907</v>
      </c>
      <c r="J21" s="96">
        <f t="shared" ref="J21:O21" ca="1" si="8">SUM(J12:J20)</f>
        <v>5298.9077878689322</v>
      </c>
      <c r="K21" s="96">
        <f t="shared" ca="1" si="8"/>
        <v>5301.6342245629621</v>
      </c>
      <c r="L21" s="96">
        <f t="shared" ca="1" si="8"/>
        <v>5304.5552615910674</v>
      </c>
      <c r="M21" s="96">
        <f t="shared" ca="1" si="8"/>
        <v>5307.7098920146927</v>
      </c>
      <c r="N21" s="96">
        <f t="shared" ca="1" si="8"/>
        <v>5311.1410569671189</v>
      </c>
      <c r="O21" s="96">
        <f t="shared" ca="1" si="8"/>
        <v>5314.8957646540784</v>
      </c>
    </row>
    <row r="22" spans="1:17">
      <c r="A22" s="78"/>
      <c r="B22" s="281"/>
      <c r="C22" s="281"/>
      <c r="D22" s="216"/>
      <c r="E22" s="216"/>
      <c r="H22" s="225"/>
      <c r="I22" s="216"/>
      <c r="J22" s="216"/>
      <c r="K22" s="216"/>
      <c r="L22" s="216"/>
      <c r="M22" s="216"/>
      <c r="N22" s="216"/>
      <c r="O22" s="216"/>
      <c r="P22" s="216"/>
      <c r="Q22" s="216"/>
    </row>
    <row r="23" spans="1:17">
      <c r="A23" s="78" t="s">
        <v>26</v>
      </c>
      <c r="B23" s="216"/>
      <c r="C23" s="299" t="str">
        <f>'S&amp;U and Opening BS'!C94</f>
        <v>Accounts Payable</v>
      </c>
      <c r="D23" s="216"/>
      <c r="E23" s="216"/>
      <c r="H23" s="245">
        <f>'S&amp;U and Opening BS'!M94</f>
        <v>105.02800000000001</v>
      </c>
      <c r="I23" s="181">
        <f>(I84/Days)*IS!I9</f>
        <v>108.99136245647651</v>
      </c>
      <c r="J23" s="181">
        <f>(J84/Days)*IS!J9</f>
        <v>115.87521411023459</v>
      </c>
      <c r="K23" s="181">
        <f>(K84/Days)*IS!K9</f>
        <v>123.00862314534919</v>
      </c>
      <c r="L23" s="181">
        <f>(L84/Days)*IS!L9</f>
        <v>130.38716979564023</v>
      </c>
      <c r="M23" s="181">
        <f>(M84/Days)*IS!M9</f>
        <v>138.00526313009001</v>
      </c>
      <c r="N23" s="181">
        <f>(N84/Days)*IS!N9</f>
        <v>145.85610522672749</v>
      </c>
      <c r="O23" s="181">
        <f>(O84/Days)*IS!O9</f>
        <v>153.93166071192903</v>
      </c>
      <c r="P23" s="216"/>
      <c r="Q23" s="216"/>
    </row>
    <row r="24" spans="1:17">
      <c r="A24" s="78"/>
      <c r="B24" s="64"/>
      <c r="C24" s="299" t="str">
        <f>'S&amp;U and Opening BS'!C95</f>
        <v>Accrued Liabilities</v>
      </c>
      <c r="D24" s="216"/>
      <c r="E24" s="216"/>
      <c r="H24" s="296">
        <f>'S&amp;U and Opening BS'!M95</f>
        <v>98.203999999999994</v>
      </c>
      <c r="I24" s="227">
        <f>I85*IS!I9</f>
        <v>103.462469775</v>
      </c>
      <c r="J24" s="227">
        <f>J85*IS!J9</f>
        <v>107.59852106671499</v>
      </c>
      <c r="K24" s="227">
        <f>K85*IS!K9</f>
        <v>111.78482708374885</v>
      </c>
      <c r="L24" s="227">
        <f>L85*IS!L9</f>
        <v>116.01430508179062</v>
      </c>
      <c r="M24" s="227">
        <f>M85*IS!M9</f>
        <v>120.27943143241346</v>
      </c>
      <c r="N24" s="227">
        <f>N85*IS!N9</f>
        <v>124.57225523799124</v>
      </c>
      <c r="O24" s="227">
        <f>O85*IS!O9</f>
        <v>128.88441483279129</v>
      </c>
      <c r="P24" s="216"/>
      <c r="Q24" s="216"/>
    </row>
    <row r="25" spans="1:17">
      <c r="A25" s="78"/>
      <c r="B25" s="216"/>
      <c r="C25" s="299" t="str">
        <f>'S&amp;U and Opening BS'!C96</f>
        <v>Other Current Liabilities</v>
      </c>
      <c r="D25" s="216"/>
      <c r="E25" s="216"/>
      <c r="H25" s="296">
        <f>'S&amp;U and Opening BS'!M96</f>
        <v>127.1</v>
      </c>
      <c r="I25" s="227">
        <f>I86*IS!I9</f>
        <v>133.02317542500001</v>
      </c>
      <c r="J25" s="227">
        <f>J86*IS!J9</f>
        <v>138.34095565720497</v>
      </c>
      <c r="K25" s="227">
        <f>K86*IS!K9</f>
        <v>143.72334910767708</v>
      </c>
      <c r="L25" s="227">
        <f>L86*IS!L9</f>
        <v>149.16124939087365</v>
      </c>
      <c r="M25" s="227">
        <f>M86*IS!M9</f>
        <v>154.64498327024586</v>
      </c>
      <c r="N25" s="227">
        <f>N86*IS!N9</f>
        <v>160.16432816313159</v>
      </c>
      <c r="O25" s="227">
        <f>O86*IS!O9</f>
        <v>165.70853335644594</v>
      </c>
      <c r="P25" s="216"/>
      <c r="Q25" s="216"/>
    </row>
    <row r="26" spans="1:17">
      <c r="A26" s="78"/>
      <c r="B26" s="222" t="s">
        <v>118</v>
      </c>
      <c r="C26" s="222"/>
      <c r="D26" s="222"/>
      <c r="E26" s="222"/>
      <c r="F26" s="16"/>
      <c r="H26" s="298">
        <f>'S&amp;U and Opening BS'!M97</f>
        <v>330.33199999999999</v>
      </c>
      <c r="I26" s="285">
        <f>SUM(I23:I25)</f>
        <v>345.47700765647653</v>
      </c>
      <c r="J26" s="285">
        <f t="shared" ref="J26:O26" si="9">SUM(J23:J25)</f>
        <v>361.81469083415459</v>
      </c>
      <c r="K26" s="285">
        <f t="shared" si="9"/>
        <v>378.51679933677508</v>
      </c>
      <c r="L26" s="285">
        <f t="shared" si="9"/>
        <v>395.56272426830452</v>
      </c>
      <c r="M26" s="285">
        <f t="shared" si="9"/>
        <v>412.92967783274935</v>
      </c>
      <c r="N26" s="285">
        <f t="shared" si="9"/>
        <v>430.59268862785029</v>
      </c>
      <c r="O26" s="285">
        <f t="shared" si="9"/>
        <v>448.52460890116629</v>
      </c>
      <c r="P26" s="216"/>
      <c r="Q26" s="216"/>
    </row>
    <row r="27" spans="1:17">
      <c r="A27" s="78"/>
      <c r="B27" s="216"/>
      <c r="C27" s="216"/>
      <c r="D27" s="216"/>
      <c r="E27" s="216"/>
      <c r="H27" s="225"/>
      <c r="I27" s="216"/>
      <c r="J27" s="216"/>
      <c r="K27" s="216"/>
      <c r="L27" s="216"/>
      <c r="M27" s="216"/>
      <c r="N27" s="216"/>
      <c r="O27" s="216"/>
      <c r="P27" s="216"/>
      <c r="Q27" s="216"/>
    </row>
    <row r="28" spans="1:17">
      <c r="A28" s="78" t="s">
        <v>26</v>
      </c>
      <c r="B28" s="216"/>
      <c r="C28" s="299" t="str">
        <f>'S&amp;U and Opening BS'!C99</f>
        <v>Existing Long-Term Debt</v>
      </c>
      <c r="D28" s="216"/>
      <c r="E28" s="216"/>
      <c r="H28" s="296">
        <f>'S&amp;U and Opening BS'!M99</f>
        <v>0</v>
      </c>
      <c r="I28" s="74">
        <v>0</v>
      </c>
      <c r="J28" s="227">
        <v>0</v>
      </c>
      <c r="K28" s="227">
        <v>0</v>
      </c>
      <c r="L28" s="227">
        <v>0</v>
      </c>
      <c r="M28" s="227">
        <v>0</v>
      </c>
      <c r="N28" s="227">
        <v>0</v>
      </c>
      <c r="O28" s="227">
        <v>0</v>
      </c>
      <c r="P28" s="216"/>
      <c r="Q28" s="216"/>
    </row>
    <row r="29" spans="1:17">
      <c r="A29" s="78"/>
      <c r="B29" s="216"/>
      <c r="C29" s="299" t="str">
        <f>'S&amp;U and Opening BS'!C100</f>
        <v>Revolving Credit Facility</v>
      </c>
      <c r="D29" s="216"/>
      <c r="E29" s="216"/>
      <c r="H29" s="296">
        <f ca="1">'S&amp;U and Opening BS'!M100</f>
        <v>342.79357196916453</v>
      </c>
      <c r="I29" s="32">
        <f ca="1">H29+I69</f>
        <v>257.0606706825231</v>
      </c>
      <c r="J29" s="32">
        <f ca="1">I29+J69</f>
        <v>87.654184497251549</v>
      </c>
      <c r="K29" s="32">
        <f t="shared" ref="K29:O29" ca="1" si="10">J29+K69</f>
        <v>114.41876424367686</v>
      </c>
      <c r="L29" s="32">
        <f t="shared" ca="1" si="10"/>
        <v>193.54266376527701</v>
      </c>
      <c r="M29" s="32">
        <f t="shared" ca="1" si="10"/>
        <v>239.24553466992958</v>
      </c>
      <c r="N29" s="32">
        <f t="shared" ca="1" si="10"/>
        <v>249.32062697854585</v>
      </c>
      <c r="O29" s="32">
        <f t="shared" ca="1" si="10"/>
        <v>221.47160419136114</v>
      </c>
      <c r="P29" s="216"/>
      <c r="Q29" s="216"/>
    </row>
    <row r="30" spans="1:17">
      <c r="A30" s="78"/>
      <c r="B30" s="216"/>
      <c r="C30" s="299" t="str">
        <f>'S&amp;U and Opening BS'!C101</f>
        <v>Bank Term Loan</v>
      </c>
      <c r="D30" s="216"/>
      <c r="E30" s="216"/>
      <c r="H30" s="296">
        <f ca="1">'S&amp;U and Opening BS'!M101</f>
        <v>1536.4277159074934</v>
      </c>
      <c r="I30" s="227">
        <f ca="1">H30+I66</f>
        <v>1536.4277159074934</v>
      </c>
      <c r="J30" s="227">
        <f ca="1">I30+J66</f>
        <v>1536.4277159074934</v>
      </c>
      <c r="K30" s="227">
        <f t="shared" ref="K30:O30" ca="1" si="11">J30+K66</f>
        <v>1312.4819073769538</v>
      </c>
      <c r="L30" s="227">
        <f t="shared" ca="1" si="11"/>
        <v>1005.1963641954551</v>
      </c>
      <c r="M30" s="227">
        <f t="shared" ca="1" si="11"/>
        <v>697.91082101395637</v>
      </c>
      <c r="N30" s="227">
        <f t="shared" ca="1" si="11"/>
        <v>390.6252778324577</v>
      </c>
      <c r="O30" s="227">
        <f t="shared" ca="1" si="11"/>
        <v>83.339734650959031</v>
      </c>
      <c r="P30" s="216"/>
      <c r="Q30" s="216"/>
    </row>
    <row r="31" spans="1:17">
      <c r="A31" s="78"/>
      <c r="B31" s="216"/>
      <c r="C31" s="299" t="str">
        <f>'S&amp;U and Opening BS'!C102</f>
        <v>Subordinated Debt</v>
      </c>
      <c r="D31" s="216"/>
      <c r="E31" s="216"/>
      <c r="H31" s="296">
        <f ca="1">'S&amp;U and Opening BS'!M102</f>
        <v>819.42811515066319</v>
      </c>
      <c r="I31" s="227">
        <f ca="1">H31</f>
        <v>819.42811515066319</v>
      </c>
      <c r="J31" s="227">
        <f t="shared" ref="J31:O31" ca="1" si="12">I31</f>
        <v>819.42811515066319</v>
      </c>
      <c r="K31" s="227">
        <f t="shared" ca="1" si="12"/>
        <v>819.42811515066319</v>
      </c>
      <c r="L31" s="227">
        <f t="shared" ca="1" si="12"/>
        <v>819.42811515066319</v>
      </c>
      <c r="M31" s="227">
        <f t="shared" ca="1" si="12"/>
        <v>819.42811515066319</v>
      </c>
      <c r="N31" s="227">
        <f t="shared" ca="1" si="12"/>
        <v>819.42811515066319</v>
      </c>
      <c r="O31" s="227">
        <f t="shared" ca="1" si="12"/>
        <v>819.42811515066319</v>
      </c>
      <c r="P31" s="216"/>
      <c r="Q31" s="216"/>
    </row>
    <row r="32" spans="1:17">
      <c r="A32" s="78"/>
      <c r="B32" s="216"/>
      <c r="C32" s="299" t="str">
        <f>'S&amp;U and Opening BS'!C103</f>
        <v>Deferred Income Taxes</v>
      </c>
      <c r="D32" s="216"/>
      <c r="E32" s="216"/>
      <c r="H32" s="296">
        <f>'S&amp;U and Opening BS'!M103</f>
        <v>0</v>
      </c>
      <c r="I32" s="36">
        <v>0</v>
      </c>
      <c r="J32" s="227">
        <v>0</v>
      </c>
      <c r="K32" s="227">
        <v>0</v>
      </c>
      <c r="L32" s="227">
        <v>0</v>
      </c>
      <c r="M32" s="227">
        <v>0</v>
      </c>
      <c r="N32" s="227">
        <v>0</v>
      </c>
      <c r="O32" s="227">
        <v>0</v>
      </c>
      <c r="P32" s="216"/>
      <c r="Q32" s="216"/>
    </row>
    <row r="33" spans="1:17">
      <c r="A33" s="78"/>
      <c r="B33" s="216"/>
      <c r="C33" s="299" t="str">
        <f>'S&amp;U and Opening BS'!C104</f>
        <v>Other Long-Term Liabilities</v>
      </c>
      <c r="D33" s="216"/>
      <c r="E33" s="216"/>
      <c r="H33" s="296">
        <f>'S&amp;U and Opening BS'!M104</f>
        <v>111.944</v>
      </c>
      <c r="I33" s="36">
        <f>H33</f>
        <v>111.944</v>
      </c>
      <c r="J33" s="227">
        <f>I33</f>
        <v>111.944</v>
      </c>
      <c r="K33" s="227">
        <f t="shared" ref="K33:O33" si="13">J33</f>
        <v>111.944</v>
      </c>
      <c r="L33" s="227">
        <f t="shared" si="13"/>
        <v>111.944</v>
      </c>
      <c r="M33" s="227">
        <f t="shared" si="13"/>
        <v>111.944</v>
      </c>
      <c r="N33" s="227">
        <f t="shared" si="13"/>
        <v>111.944</v>
      </c>
      <c r="O33" s="227">
        <f t="shared" si="13"/>
        <v>111.944</v>
      </c>
      <c r="P33" s="216"/>
      <c r="Q33" s="216"/>
    </row>
    <row r="34" spans="1:17">
      <c r="A34" s="78"/>
      <c r="B34" s="222" t="s">
        <v>124</v>
      </c>
      <c r="C34" s="222"/>
      <c r="D34" s="222"/>
      <c r="E34" s="222"/>
      <c r="F34" s="16"/>
      <c r="H34" s="298">
        <f ca="1">'S&amp;U and Opening BS'!M105</f>
        <v>3140.925403027321</v>
      </c>
      <c r="I34" s="285">
        <f ca="1">SUM(I26:I33)</f>
        <v>3070.3375093971558</v>
      </c>
      <c r="J34" s="285">
        <f t="shared" ref="J34:O34" ca="1" si="14">SUM(J26:J33)</f>
        <v>2917.2687063895623</v>
      </c>
      <c r="K34" s="285">
        <f t="shared" ca="1" si="14"/>
        <v>2736.7895861080692</v>
      </c>
      <c r="L34" s="285">
        <f t="shared" ca="1" si="14"/>
        <v>2525.6738673796995</v>
      </c>
      <c r="M34" s="285">
        <f t="shared" ca="1" si="14"/>
        <v>2281.4581486672982</v>
      </c>
      <c r="N34" s="285">
        <f t="shared" ca="1" si="14"/>
        <v>2001.9107085895171</v>
      </c>
      <c r="O34" s="285">
        <f t="shared" ca="1" si="14"/>
        <v>1684.7080628941496</v>
      </c>
      <c r="P34" s="216"/>
      <c r="Q34" s="216"/>
    </row>
    <row r="35" spans="1:17">
      <c r="A35" s="78"/>
      <c r="B35" s="216"/>
      <c r="C35" s="216"/>
      <c r="D35" s="216"/>
      <c r="E35" s="216"/>
      <c r="H35" s="225"/>
      <c r="I35" s="216"/>
      <c r="J35" s="216"/>
      <c r="K35" s="216"/>
      <c r="L35" s="216"/>
      <c r="M35" s="216"/>
      <c r="N35" s="216"/>
      <c r="O35" s="216"/>
      <c r="P35" s="216"/>
      <c r="Q35" s="216"/>
    </row>
    <row r="36" spans="1:17">
      <c r="A36" s="78" t="s">
        <v>26</v>
      </c>
      <c r="B36" s="216" t="s">
        <v>125</v>
      </c>
      <c r="C36" s="216"/>
      <c r="D36" s="216"/>
      <c r="E36" s="216"/>
      <c r="H36" s="296">
        <f ca="1">'S&amp;U and Opening BS'!M107</f>
        <v>2204.369946394424</v>
      </c>
      <c r="I36" s="227">
        <f ca="1">I21-I34</f>
        <v>2226.0032624477349</v>
      </c>
      <c r="J36" s="227">
        <f t="shared" ref="J36:O36" ca="1" si="15">J21-J34</f>
        <v>2381.6390814793699</v>
      </c>
      <c r="K36" s="227">
        <f t="shared" ca="1" si="15"/>
        <v>2564.8446384548929</v>
      </c>
      <c r="L36" s="227">
        <f t="shared" ca="1" si="15"/>
        <v>2778.8813942113679</v>
      </c>
      <c r="M36" s="227">
        <f t="shared" ca="1" si="15"/>
        <v>3026.2517433473945</v>
      </c>
      <c r="N36" s="227">
        <f t="shared" ca="1" si="15"/>
        <v>3309.2303483776018</v>
      </c>
      <c r="O36" s="227">
        <f t="shared" ca="1" si="15"/>
        <v>3630.187701759929</v>
      </c>
      <c r="P36" s="216"/>
      <c r="Q36" s="216"/>
    </row>
    <row r="37" spans="1:17">
      <c r="A37" s="78"/>
      <c r="B37" s="216"/>
      <c r="C37" s="216"/>
      <c r="D37" s="216"/>
      <c r="E37" s="216"/>
      <c r="H37" s="225"/>
      <c r="I37" s="216"/>
      <c r="J37" s="216"/>
      <c r="K37" s="216"/>
      <c r="L37" s="216"/>
      <c r="M37" s="216"/>
      <c r="N37" s="216"/>
      <c r="O37" s="216"/>
      <c r="P37" s="216"/>
      <c r="Q37" s="216"/>
    </row>
    <row r="38" spans="1:17" s="28" customFormat="1">
      <c r="A38" s="144"/>
      <c r="B38" s="28" t="s">
        <v>126</v>
      </c>
      <c r="H38" s="38">
        <f ca="1">'S&amp;U and Opening BS'!M109</f>
        <v>5345.2953494217454</v>
      </c>
      <c r="I38" s="95">
        <f ca="1">I34+I36</f>
        <v>5296.3407718448907</v>
      </c>
      <c r="J38" s="95">
        <f ca="1">J34+J36</f>
        <v>5298.9077878689322</v>
      </c>
      <c r="K38" s="95">
        <f ca="1">K34+K36</f>
        <v>5301.6342245629621</v>
      </c>
      <c r="L38" s="95">
        <f t="shared" ref="L38:O38" ca="1" si="16">L34+L36</f>
        <v>5304.5552615910674</v>
      </c>
      <c r="M38" s="95">
        <f t="shared" ca="1" si="16"/>
        <v>5307.7098920146927</v>
      </c>
      <c r="N38" s="95">
        <f t="shared" ca="1" si="16"/>
        <v>5311.1410569671189</v>
      </c>
      <c r="O38" s="95">
        <f t="shared" ca="1" si="16"/>
        <v>5314.8957646540784</v>
      </c>
    </row>
    <row r="39" spans="1:17">
      <c r="A39" s="78"/>
      <c r="B39" s="216"/>
      <c r="C39" s="64" t="s">
        <v>127</v>
      </c>
      <c r="D39" s="216"/>
      <c r="E39" s="216"/>
      <c r="H39" s="161">
        <f ca="1">'S&amp;U and Opening BS'!M110</f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216"/>
      <c r="Q39" s="216"/>
    </row>
    <row r="40" spans="1:17">
      <c r="A40" s="78"/>
      <c r="B40" s="216"/>
      <c r="C40" s="216"/>
      <c r="D40" s="216"/>
      <c r="E40" s="216"/>
      <c r="F40" s="216"/>
      <c r="G40" s="216"/>
      <c r="H40" s="92"/>
      <c r="J40" s="216"/>
      <c r="K40" s="216"/>
      <c r="L40" s="216"/>
      <c r="M40" s="216"/>
      <c r="N40" s="216"/>
      <c r="O40" s="216"/>
      <c r="P40" s="216"/>
      <c r="Q40" s="216"/>
    </row>
    <row r="41" spans="1:17" ht="18" customHeight="1">
      <c r="A41" s="78"/>
      <c r="B41" s="102" t="str">
        <f>'S&amp;U and Opening BS'!B17</f>
        <v>Leveraged Buyout for Brady Coporation</v>
      </c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</row>
    <row r="42" spans="1:17" ht="17" thickBot="1">
      <c r="A42" s="78"/>
      <c r="B42" s="10" t="s">
        <v>175</v>
      </c>
      <c r="C42" s="10"/>
      <c r="D42" s="221"/>
      <c r="E42" s="221"/>
      <c r="F42" s="221"/>
      <c r="G42" s="221"/>
      <c r="H42" s="221"/>
      <c r="I42" s="221"/>
      <c r="J42" s="221"/>
      <c r="K42" s="221"/>
      <c r="L42" s="221"/>
      <c r="M42" s="11"/>
      <c r="N42" s="11" t="s">
        <v>28</v>
      </c>
      <c r="O42" s="12">
        <f>'S&amp;U and Opening BS'!$O$18</f>
        <v>45869</v>
      </c>
      <c r="P42" s="216"/>
      <c r="Q42" s="216"/>
    </row>
    <row r="43" spans="1:17">
      <c r="A43" s="78"/>
      <c r="B43" s="293" t="str">
        <f>Subheader</f>
        <v>Dollars in Millions, except per share</v>
      </c>
      <c r="C43" s="293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</row>
    <row r="44" spans="1:17">
      <c r="A44" s="78"/>
      <c r="B44" s="293"/>
      <c r="C44" s="293"/>
      <c r="D44" s="216"/>
      <c r="E44" s="216"/>
      <c r="F44" s="216"/>
      <c r="G44" s="216"/>
      <c r="H44" s="300"/>
      <c r="I44" s="91" t="str">
        <f>IS!I5</f>
        <v>Projected Fiscal Year</v>
      </c>
      <c r="J44" s="288"/>
      <c r="K44" s="288"/>
      <c r="L44" s="288"/>
      <c r="M44" s="288"/>
      <c r="N44" s="288"/>
      <c r="O44" s="288"/>
      <c r="P44" s="216"/>
      <c r="Q44" s="216"/>
    </row>
    <row r="45" spans="1:17">
      <c r="A45" s="78"/>
      <c r="B45" s="293"/>
      <c r="C45" s="293"/>
      <c r="D45" s="216"/>
      <c r="E45" s="216"/>
      <c r="F45" s="216"/>
      <c r="G45" s="216"/>
      <c r="H45" s="103"/>
      <c r="I45" s="289">
        <f>IS!I6</f>
        <v>2026</v>
      </c>
      <c r="J45" s="289">
        <f>IS!J6</f>
        <v>2027</v>
      </c>
      <c r="K45" s="289">
        <f>IS!K6</f>
        <v>2028</v>
      </c>
      <c r="L45" s="289">
        <f>IS!L6</f>
        <v>2029</v>
      </c>
      <c r="M45" s="289">
        <f>IS!M6</f>
        <v>2030</v>
      </c>
      <c r="N45" s="289">
        <f>IS!N6</f>
        <v>2031</v>
      </c>
      <c r="O45" s="289">
        <f>IS!O6</f>
        <v>2032</v>
      </c>
      <c r="P45" s="216"/>
      <c r="Q45" s="216"/>
    </row>
    <row r="46" spans="1:17">
      <c r="A46" s="78"/>
      <c r="B46" s="293"/>
      <c r="C46" s="293"/>
      <c r="D46" s="216"/>
      <c r="E46" s="216"/>
      <c r="F46" s="216"/>
      <c r="G46" s="216"/>
      <c r="H46" s="216"/>
      <c r="I46" s="222"/>
      <c r="J46" s="222"/>
      <c r="K46" s="222"/>
      <c r="L46" s="222"/>
      <c r="M46" s="222"/>
      <c r="N46" s="222"/>
      <c r="O46" s="222"/>
      <c r="P46" s="216"/>
      <c r="Q46" s="216"/>
    </row>
    <row r="47" spans="1:17">
      <c r="A47" s="78"/>
      <c r="B47" s="216" t="s">
        <v>162</v>
      </c>
      <c r="C47" s="216"/>
      <c r="D47" s="216"/>
      <c r="E47" s="216"/>
      <c r="F47" s="216"/>
      <c r="G47" s="216"/>
      <c r="H47" s="216"/>
      <c r="I47" s="244"/>
      <c r="J47" s="244">
        <f ca="1">IS!J29</f>
        <v>81.718780395135283</v>
      </c>
      <c r="K47" s="244">
        <f ca="1">IS!K29</f>
        <v>116.2236039934196</v>
      </c>
      <c r="L47" s="244">
        <f ca="1">IS!L29</f>
        <v>154.88246035807984</v>
      </c>
      <c r="M47" s="244">
        <f ca="1">IS!M29</f>
        <v>196.97565275437273</v>
      </c>
      <c r="N47" s="244">
        <f ca="1">IS!N29</f>
        <v>242.31347526367361</v>
      </c>
      <c r="O47" s="244">
        <f ca="1">IS!O29</f>
        <v>291.02816828826093</v>
      </c>
      <c r="P47" s="216"/>
      <c r="Q47" s="216"/>
    </row>
    <row r="48" spans="1:17">
      <c r="A48" s="78"/>
      <c r="B48" s="216" t="s">
        <v>148</v>
      </c>
      <c r="C48" s="216"/>
      <c r="D48" s="216"/>
      <c r="E48" s="216"/>
      <c r="F48" s="216"/>
      <c r="G48" s="216"/>
      <c r="H48" s="216"/>
      <c r="I48" s="227">
        <f>I91</f>
        <v>42</v>
      </c>
      <c r="J48" s="227">
        <f t="shared" ref="J48:O48" si="17">J91</f>
        <v>44.350223181899999</v>
      </c>
      <c r="K48" s="227">
        <f t="shared" si="17"/>
        <v>40.189171789262403</v>
      </c>
      <c r="L48" s="227">
        <f t="shared" si="17"/>
        <v>35.492577239036592</v>
      </c>
      <c r="M48" s="227">
        <f t="shared" si="17"/>
        <v>30.236817828992379</v>
      </c>
      <c r="N48" s="227">
        <f t="shared" si="17"/>
        <v>24.399077859920336</v>
      </c>
      <c r="O48" s="227">
        <f t="shared" si="17"/>
        <v>17.957511056439554</v>
      </c>
      <c r="P48" s="216"/>
      <c r="Q48" s="216"/>
    </row>
    <row r="49" spans="1:17">
      <c r="A49" s="78"/>
      <c r="B49" s="216" t="s">
        <v>176</v>
      </c>
      <c r="C49" s="216"/>
      <c r="D49" s="216"/>
      <c r="E49" s="216"/>
      <c r="F49" s="216"/>
      <c r="G49" s="216"/>
      <c r="H49" s="216"/>
      <c r="I49" s="290">
        <f ca="1">IS!I24</f>
        <v>8.4986384850555332</v>
      </c>
      <c r="J49" s="290">
        <v>0</v>
      </c>
      <c r="K49" s="290">
        <v>0</v>
      </c>
      <c r="L49" s="290">
        <v>0</v>
      </c>
      <c r="M49" s="290">
        <v>0</v>
      </c>
      <c r="N49" s="290">
        <v>0</v>
      </c>
      <c r="O49" s="290">
        <v>0</v>
      </c>
      <c r="P49" s="216"/>
    </row>
    <row r="50" spans="1:17">
      <c r="A50" s="78"/>
      <c r="B50" s="216" t="str">
        <f>"Change in "&amp;C9</f>
        <v>Change in Accounts Receivable, net</v>
      </c>
      <c r="D50" s="216"/>
      <c r="E50" s="216"/>
      <c r="F50" s="216"/>
      <c r="G50" s="216"/>
      <c r="H50" s="216"/>
      <c r="I50" s="227">
        <f t="shared" ref="I50:O50" si="18">H9-I9</f>
        <v>-11.597199999999987</v>
      </c>
      <c r="J50" s="227">
        <f t="shared" si="18"/>
        <v>-5.0821754003424644</v>
      </c>
      <c r="K50" s="227">
        <f t="shared" si="18"/>
        <v>-4.7537141363753506</v>
      </c>
      <c r="L50" s="227">
        <f t="shared" si="18"/>
        <v>-4.3910455548910363</v>
      </c>
      <c r="M50" s="227">
        <f t="shared" si="18"/>
        <v>-3.9938433888260647</v>
      </c>
      <c r="N50" s="227">
        <f t="shared" si="18"/>
        <v>-3.561941119089056</v>
      </c>
      <c r="O50" s="227">
        <f t="shared" si="18"/>
        <v>-3.0953412416972697</v>
      </c>
      <c r="P50" s="216"/>
    </row>
    <row r="51" spans="1:17">
      <c r="A51" s="78"/>
      <c r="B51" s="216" t="str">
        <f>"Change in "&amp;C10</f>
        <v>Change in Inventories</v>
      </c>
      <c r="D51" s="216"/>
      <c r="E51" s="216"/>
      <c r="F51" s="216"/>
      <c r="G51" s="216"/>
      <c r="H51" s="216"/>
      <c r="I51" s="227">
        <f>H10-I10</f>
        <v>-7.5804948548906452</v>
      </c>
      <c r="J51" s="227">
        <f t="shared" ref="J51:O51" si="19">-(J10-I10)</f>
        <v>-4.122236037349353</v>
      </c>
      <c r="K51" s="227">
        <f t="shared" si="19"/>
        <v>-3.8957966502649128</v>
      </c>
      <c r="L51" s="227">
        <f t="shared" si="19"/>
        <v>-3.6500174692402538</v>
      </c>
      <c r="M51" s="227">
        <f t="shared" si="19"/>
        <v>-3.3851880457917503</v>
      </c>
      <c r="N51" s="227">
        <f t="shared" si="19"/>
        <v>-3.1017089777939759</v>
      </c>
      <c r="O51" s="227">
        <f t="shared" si="19"/>
        <v>-2.8000938496823551</v>
      </c>
      <c r="P51" s="216"/>
    </row>
    <row r="52" spans="1:17">
      <c r="A52" s="78"/>
      <c r="B52" s="216" t="str">
        <f>"Change in "&amp;C11</f>
        <v>Change in Other Current Assets</v>
      </c>
      <c r="D52" s="216"/>
      <c r="E52" s="216"/>
      <c r="F52" s="216"/>
      <c r="G52" s="216"/>
      <c r="H52" s="216"/>
      <c r="I52" s="227">
        <f>H11-I11</f>
        <v>-0.73305000000000042</v>
      </c>
      <c r="J52" s="227">
        <f t="shared" ref="J52:O52" si="20">I11-J11</f>
        <v>-0.75430844999999636</v>
      </c>
      <c r="K52" s="227">
        <f t="shared" si="20"/>
        <v>-0.77512120560000497</v>
      </c>
      <c r="L52" s="227">
        <f t="shared" si="20"/>
        <v>-0.79540354381319744</v>
      </c>
      <c r="M52" s="227">
        <f t="shared" si="20"/>
        <v>-0.81506862717300521</v>
      </c>
      <c r="N52" s="227">
        <f t="shared" si="20"/>
        <v>-0.8340278321963801</v>
      </c>
      <c r="O52" s="227">
        <f t="shared" si="20"/>
        <v>-0.85219110498643502</v>
      </c>
      <c r="P52" s="216"/>
    </row>
    <row r="53" spans="1:17">
      <c r="A53" s="78"/>
      <c r="B53" s="216" t="str">
        <f>"Change in "&amp;C23</f>
        <v>Change in Accounts Payable</v>
      </c>
      <c r="D53" s="216"/>
      <c r="E53" s="216"/>
      <c r="F53" s="216"/>
      <c r="G53" s="216"/>
      <c r="H53" s="216"/>
      <c r="I53" s="227">
        <f t="shared" ref="I53:O55" si="21">I23-H23</f>
        <v>3.9633624564765029</v>
      </c>
      <c r="J53" s="227">
        <f t="shared" si="21"/>
        <v>6.8838516537580858</v>
      </c>
      <c r="K53" s="227">
        <f t="shared" si="21"/>
        <v>7.133409035114596</v>
      </c>
      <c r="L53" s="227">
        <f t="shared" si="21"/>
        <v>7.3785466502910424</v>
      </c>
      <c r="M53" s="227">
        <f t="shared" si="21"/>
        <v>7.6180933344497817</v>
      </c>
      <c r="N53" s="227">
        <f t="shared" si="21"/>
        <v>7.8508420966374786</v>
      </c>
      <c r="O53" s="227">
        <f t="shared" si="21"/>
        <v>8.0755554852015337</v>
      </c>
      <c r="P53" s="216"/>
    </row>
    <row r="54" spans="1:17">
      <c r="A54" s="78"/>
      <c r="B54" s="216" t="str">
        <f>"Change in "&amp;C24</f>
        <v>Change in Accrued Liabilities</v>
      </c>
      <c r="D54" s="216"/>
      <c r="E54" s="216"/>
      <c r="F54" s="216"/>
      <c r="G54" s="216"/>
      <c r="H54" s="216"/>
      <c r="I54" s="227">
        <f t="shared" si="21"/>
        <v>5.2584697750000089</v>
      </c>
      <c r="J54" s="227">
        <f t="shared" si="21"/>
        <v>4.1360512917149919</v>
      </c>
      <c r="K54" s="227">
        <f t="shared" si="21"/>
        <v>4.1863060170338571</v>
      </c>
      <c r="L54" s="227">
        <f t="shared" si="21"/>
        <v>4.2294779980417729</v>
      </c>
      <c r="M54" s="227">
        <f t="shared" si="21"/>
        <v>4.2651263506228361</v>
      </c>
      <c r="N54" s="227">
        <f t="shared" si="21"/>
        <v>4.2928238055777825</v>
      </c>
      <c r="O54" s="227">
        <f t="shared" si="21"/>
        <v>4.3121595948000504</v>
      </c>
      <c r="P54" s="216"/>
    </row>
    <row r="55" spans="1:17">
      <c r="A55" s="78"/>
      <c r="B55" s="216" t="str">
        <f>"Change in "&amp;C25</f>
        <v>Change in Other Current Liabilities</v>
      </c>
      <c r="D55" s="216"/>
      <c r="E55" s="216"/>
      <c r="F55" s="216"/>
      <c r="G55" s="216"/>
      <c r="H55" s="216"/>
      <c r="I55" s="227">
        <f t="shared" si="21"/>
        <v>5.9231754250000108</v>
      </c>
      <c r="J55" s="227">
        <f t="shared" si="21"/>
        <v>5.3177802322049672</v>
      </c>
      <c r="K55" s="227">
        <f t="shared" si="21"/>
        <v>5.382393450472108</v>
      </c>
      <c r="L55" s="227">
        <f t="shared" si="21"/>
        <v>5.4379002831965693</v>
      </c>
      <c r="M55" s="227">
        <f t="shared" si="21"/>
        <v>5.4837338793722097</v>
      </c>
      <c r="N55" s="227">
        <f t="shared" si="21"/>
        <v>5.5193448928857265</v>
      </c>
      <c r="O55" s="227">
        <f t="shared" si="21"/>
        <v>5.5442051933143546</v>
      </c>
      <c r="P55" s="216"/>
    </row>
    <row r="56" spans="1:17">
      <c r="A56" s="78"/>
      <c r="B56" s="216" t="str">
        <f>"Change in "&amp;C18</f>
        <v>Change in Long-Term Investment</v>
      </c>
      <c r="D56" s="216"/>
      <c r="E56" s="216"/>
      <c r="F56" s="216"/>
      <c r="G56" s="216"/>
      <c r="H56" s="216"/>
      <c r="I56" s="227">
        <f>I18-H18</f>
        <v>0</v>
      </c>
      <c r="J56" s="227">
        <f t="shared" ref="J56:O56" si="22">J18-I18</f>
        <v>0</v>
      </c>
      <c r="K56" s="227">
        <f t="shared" si="22"/>
        <v>0</v>
      </c>
      <c r="L56" s="227">
        <f t="shared" si="22"/>
        <v>0</v>
      </c>
      <c r="M56" s="227">
        <f t="shared" si="22"/>
        <v>0</v>
      </c>
      <c r="N56" s="227">
        <f t="shared" si="22"/>
        <v>0</v>
      </c>
      <c r="O56" s="227">
        <f t="shared" si="22"/>
        <v>0</v>
      </c>
      <c r="P56" s="216"/>
    </row>
    <row r="57" spans="1:17">
      <c r="A57" s="78"/>
      <c r="B57" s="216" t="str">
        <f>"Change in "&amp;C19</f>
        <v>Change in Other Non-Current Assets</v>
      </c>
      <c r="D57" s="216"/>
      <c r="E57" s="216"/>
      <c r="F57" s="216"/>
      <c r="G57" s="216"/>
      <c r="H57" s="216"/>
      <c r="I57" s="227">
        <f t="shared" ref="I57:O57" si="23">H19-I19</f>
        <v>0</v>
      </c>
      <c r="J57" s="227">
        <f t="shared" si="23"/>
        <v>0</v>
      </c>
      <c r="K57" s="227">
        <f t="shared" si="23"/>
        <v>0</v>
      </c>
      <c r="L57" s="227">
        <f t="shared" si="23"/>
        <v>0</v>
      </c>
      <c r="M57" s="227">
        <f t="shared" si="23"/>
        <v>0</v>
      </c>
      <c r="N57" s="227">
        <f t="shared" si="23"/>
        <v>0</v>
      </c>
      <c r="O57" s="227">
        <f t="shared" si="23"/>
        <v>0</v>
      </c>
      <c r="P57" s="216"/>
    </row>
    <row r="58" spans="1:17">
      <c r="A58" s="78"/>
      <c r="B58" s="216" t="str">
        <f>"Change in "&amp;C32</f>
        <v>Change in Deferred Income Taxes</v>
      </c>
      <c r="D58" s="216"/>
      <c r="E58" s="216"/>
      <c r="F58" s="216"/>
      <c r="G58" s="216"/>
      <c r="H58" s="216"/>
      <c r="I58" s="227">
        <f>I32-H32</f>
        <v>0</v>
      </c>
      <c r="J58" s="227">
        <f t="shared" ref="J58:O58" si="24">J32-I32</f>
        <v>0</v>
      </c>
      <c r="K58" s="227">
        <f t="shared" si="24"/>
        <v>0</v>
      </c>
      <c r="L58" s="227">
        <f t="shared" si="24"/>
        <v>0</v>
      </c>
      <c r="M58" s="227">
        <f t="shared" si="24"/>
        <v>0</v>
      </c>
      <c r="N58" s="227">
        <f t="shared" si="24"/>
        <v>0</v>
      </c>
      <c r="O58" s="227">
        <f t="shared" si="24"/>
        <v>0</v>
      </c>
      <c r="P58" s="216"/>
    </row>
    <row r="59" spans="1:17">
      <c r="A59" s="78"/>
      <c r="B59" s="216" t="str">
        <f>"Change in "&amp;C33</f>
        <v>Change in Other Long-Term Liabilities</v>
      </c>
      <c r="D59" s="216"/>
      <c r="E59" s="216"/>
      <c r="F59" s="216"/>
      <c r="G59" s="216"/>
      <c r="H59" s="216"/>
      <c r="I59" s="227">
        <f>I33-H33</f>
        <v>0</v>
      </c>
      <c r="J59" s="227">
        <f t="shared" ref="J59:O59" si="25">J33-I33</f>
        <v>0</v>
      </c>
      <c r="K59" s="227">
        <f t="shared" si="25"/>
        <v>0</v>
      </c>
      <c r="L59" s="227">
        <f t="shared" si="25"/>
        <v>0</v>
      </c>
      <c r="M59" s="227">
        <f t="shared" si="25"/>
        <v>0</v>
      </c>
      <c r="N59" s="227">
        <f t="shared" si="25"/>
        <v>0</v>
      </c>
      <c r="O59" s="227">
        <f t="shared" si="25"/>
        <v>0</v>
      </c>
      <c r="P59" s="216"/>
    </row>
    <row r="60" spans="1:17">
      <c r="A60" s="78"/>
      <c r="B60" s="16"/>
      <c r="C60" s="222" t="s">
        <v>177</v>
      </c>
      <c r="D60" s="222"/>
      <c r="E60" s="222"/>
      <c r="F60" s="222"/>
      <c r="G60" s="222"/>
      <c r="H60" s="216"/>
      <c r="I60" s="285">
        <f ca="1">SUM(I47:I59)</f>
        <v>45.732901286641429</v>
      </c>
      <c r="J60" s="285">
        <f ca="1">SUM(J47:J59)</f>
        <v>132.44796686702153</v>
      </c>
      <c r="K60" s="285">
        <f t="shared" ref="K60:O60" ca="1" si="26">SUM(K47:K59)</f>
        <v>163.69025229306229</v>
      </c>
      <c r="L60" s="285">
        <f t="shared" ca="1" si="26"/>
        <v>198.58449596070133</v>
      </c>
      <c r="M60" s="285">
        <f t="shared" ca="1" si="26"/>
        <v>236.38532408601912</v>
      </c>
      <c r="N60" s="285">
        <f t="shared" ca="1" si="26"/>
        <v>276.87788598961544</v>
      </c>
      <c r="O60" s="285">
        <f t="shared" ca="1" si="26"/>
        <v>320.16997342165041</v>
      </c>
      <c r="P60" s="216"/>
    </row>
    <row r="61" spans="1:17" ht="6" customHeight="1">
      <c r="A61" s="78"/>
      <c r="B61" s="216"/>
      <c r="C61" s="216"/>
      <c r="D61" s="216"/>
      <c r="E61" s="216"/>
      <c r="F61" s="216"/>
      <c r="G61" s="216"/>
      <c r="H61" s="216"/>
      <c r="I61" s="227"/>
      <c r="J61" s="227"/>
      <c r="K61" s="227"/>
      <c r="L61" s="227"/>
      <c r="M61" s="227"/>
      <c r="N61" s="227"/>
      <c r="O61" s="227"/>
      <c r="P61" s="216"/>
      <c r="Q61" s="216"/>
    </row>
    <row r="62" spans="1:17">
      <c r="A62" s="78"/>
      <c r="B62" s="216" t="s">
        <v>178</v>
      </c>
      <c r="C62" s="216"/>
      <c r="D62" s="216"/>
      <c r="E62" s="216"/>
      <c r="F62" s="216"/>
      <c r="G62" s="216"/>
      <c r="H62" s="216"/>
      <c r="I62" s="34">
        <f>-I94</f>
        <v>0</v>
      </c>
      <c r="J62" s="34">
        <f t="shared" ref="J62:O62" si="27">-J94</f>
        <v>0</v>
      </c>
      <c r="K62" s="34">
        <f t="shared" si="27"/>
        <v>0</v>
      </c>
      <c r="L62" s="34">
        <f t="shared" si="27"/>
        <v>0</v>
      </c>
      <c r="M62" s="34">
        <f t="shared" si="27"/>
        <v>0</v>
      </c>
      <c r="N62" s="34">
        <f t="shared" si="27"/>
        <v>0</v>
      </c>
      <c r="O62" s="34">
        <f t="shared" si="27"/>
        <v>0</v>
      </c>
      <c r="P62" s="216"/>
      <c r="Q62" s="216"/>
    </row>
    <row r="63" spans="1:17">
      <c r="A63" s="78" t="s">
        <v>26</v>
      </c>
      <c r="B63" s="216" t="s">
        <v>179</v>
      </c>
      <c r="C63" s="216"/>
      <c r="D63" s="216"/>
      <c r="E63" s="216"/>
      <c r="F63" s="216"/>
      <c r="G63" s="216"/>
      <c r="H63" s="36"/>
      <c r="I63" s="34">
        <f>-I88</f>
        <v>-40</v>
      </c>
      <c r="J63" s="34">
        <f t="shared" ref="J63:O63" si="28">-J88</f>
        <v>-36.958519318249998</v>
      </c>
      <c r="K63" s="34">
        <f t="shared" si="28"/>
        <v>-33.490976491052002</v>
      </c>
      <c r="L63" s="34">
        <f t="shared" si="28"/>
        <v>-29.577147699197162</v>
      </c>
      <c r="M63" s="34">
        <f t="shared" si="28"/>
        <v>-25.197348190826983</v>
      </c>
      <c r="N63" s="34">
        <f t="shared" si="28"/>
        <v>-20.332564883266947</v>
      </c>
      <c r="O63" s="34">
        <f t="shared" si="28"/>
        <v>-14.964592547032963</v>
      </c>
      <c r="P63" s="216"/>
      <c r="Q63" s="71"/>
    </row>
    <row r="64" spans="1:17">
      <c r="A64" s="101"/>
      <c r="B64" s="16"/>
      <c r="C64" s="96" t="s">
        <v>180</v>
      </c>
      <c r="D64" s="96"/>
      <c r="E64" s="96"/>
      <c r="F64" s="96"/>
      <c r="G64" s="96"/>
      <c r="H64" s="95"/>
      <c r="I64" s="135">
        <f ca="1">I60+I62-I63</f>
        <v>85.732901286641436</v>
      </c>
      <c r="J64" s="135">
        <f ca="1">J60+J62-J63</f>
        <v>169.40648618527155</v>
      </c>
      <c r="K64" s="135">
        <f t="shared" ref="K64:O64" ca="1" si="29">K60+K62-K63</f>
        <v>197.1812287841143</v>
      </c>
      <c r="L64" s="135">
        <f t="shared" ca="1" si="29"/>
        <v>228.16164365989849</v>
      </c>
      <c r="M64" s="135">
        <f t="shared" ca="1" si="29"/>
        <v>261.5826722768461</v>
      </c>
      <c r="N64" s="135">
        <f t="shared" ca="1" si="29"/>
        <v>297.2104508728824</v>
      </c>
      <c r="O64" s="135">
        <f t="shared" ca="1" si="29"/>
        <v>335.13456596868338</v>
      </c>
      <c r="P64" s="95"/>
      <c r="Q64" s="95"/>
    </row>
    <row r="65" spans="1:18" ht="6" customHeight="1">
      <c r="A65" s="101"/>
      <c r="C65" s="95"/>
      <c r="D65" s="95"/>
      <c r="E65" s="95"/>
      <c r="F65" s="95"/>
      <c r="G65" s="95"/>
      <c r="H65" s="95"/>
      <c r="I65" s="140"/>
      <c r="J65" s="140"/>
      <c r="K65" s="140"/>
      <c r="L65" s="140"/>
      <c r="M65" s="140"/>
      <c r="N65" s="140"/>
      <c r="O65" s="140"/>
      <c r="P65" s="95"/>
      <c r="Q65" s="95"/>
    </row>
    <row r="66" spans="1:18">
      <c r="A66" s="78"/>
      <c r="B66" s="216" t="s">
        <v>181</v>
      </c>
      <c r="C66" s="35"/>
      <c r="D66" s="35"/>
      <c r="E66" s="35"/>
      <c r="F66" s="35"/>
      <c r="G66" s="35"/>
      <c r="H66" s="35"/>
      <c r="I66" s="36">
        <v>0</v>
      </c>
      <c r="J66" s="227">
        <f>I66</f>
        <v>0</v>
      </c>
      <c r="K66" s="36">
        <v>-223.94580853053967</v>
      </c>
      <c r="L66" s="378">
        <f ca="1">-'S&amp;U and Opening BS'!$H$25/5</f>
        <v>-307.28554318149867</v>
      </c>
      <c r="M66" s="378">
        <f ca="1">-'S&amp;U and Opening BS'!$H$25/5</f>
        <v>-307.28554318149867</v>
      </c>
      <c r="N66" s="378">
        <f ca="1">-'S&amp;U and Opening BS'!$H$25/5</f>
        <v>-307.28554318149867</v>
      </c>
      <c r="O66" s="378">
        <f ca="1">-'S&amp;U and Opening BS'!$H$25/5</f>
        <v>-307.28554318149867</v>
      </c>
      <c r="P66" s="216"/>
      <c r="Q66" s="216"/>
    </row>
    <row r="67" spans="1:18">
      <c r="A67" s="101"/>
      <c r="B67" s="16"/>
      <c r="C67" s="96" t="s">
        <v>182</v>
      </c>
      <c r="D67" s="96"/>
      <c r="E67" s="96"/>
      <c r="F67" s="96"/>
      <c r="G67" s="96"/>
      <c r="H67" s="95"/>
      <c r="I67" s="135">
        <f ca="1">SUM(I64:I66)</f>
        <v>85.732901286641436</v>
      </c>
      <c r="J67" s="135">
        <f ca="1">SUM(J64:J66)</f>
        <v>169.40648618527155</v>
      </c>
      <c r="K67" s="135">
        <f t="shared" ref="K67:O67" ca="1" si="30">SUM(K64:K66)</f>
        <v>-26.764579746425369</v>
      </c>
      <c r="L67" s="135">
        <f t="shared" ca="1" si="30"/>
        <v>-79.12389952160018</v>
      </c>
      <c r="M67" s="135">
        <f t="shared" ca="1" si="30"/>
        <v>-45.702870904652571</v>
      </c>
      <c r="N67" s="135">
        <f t="shared" ca="1" si="30"/>
        <v>-10.075092308616263</v>
      </c>
      <c r="O67" s="135">
        <f t="shared" ca="1" si="30"/>
        <v>27.849022787184708</v>
      </c>
      <c r="P67" s="95"/>
      <c r="Q67" s="95"/>
    </row>
    <row r="68" spans="1:18" ht="6" customHeight="1">
      <c r="A68" s="101"/>
      <c r="C68" s="95"/>
      <c r="D68" s="95"/>
      <c r="E68" s="95"/>
      <c r="F68" s="95"/>
      <c r="G68" s="95"/>
      <c r="H68" s="95"/>
      <c r="I68" s="140"/>
      <c r="J68" s="140"/>
      <c r="K68" s="140"/>
      <c r="L68" s="140"/>
      <c r="M68" s="140"/>
      <c r="N68" s="140"/>
      <c r="O68" s="140"/>
      <c r="P68" s="95"/>
      <c r="Q68" s="95"/>
    </row>
    <row r="69" spans="1:18">
      <c r="A69" s="78"/>
      <c r="B69" s="216" t="s">
        <v>183</v>
      </c>
      <c r="C69" s="216"/>
      <c r="D69" s="216"/>
      <c r="E69" s="216"/>
      <c r="F69" s="216"/>
      <c r="G69" s="216"/>
      <c r="H69" s="216"/>
      <c r="I69" s="227">
        <f ca="1">-MIN(I67,H29)</f>
        <v>-85.732901286641436</v>
      </c>
      <c r="J69" s="227">
        <f ca="1">-MIN(J67,I29)</f>
        <v>-169.40648618527155</v>
      </c>
      <c r="K69" s="375">
        <f ca="1">-MIN(K67,J29)</f>
        <v>26.764579746425369</v>
      </c>
      <c r="L69" s="227">
        <f t="shared" ref="L69:O69" ca="1" si="31">-MIN(L67,K29)</f>
        <v>79.12389952160018</v>
      </c>
      <c r="M69" s="227">
        <f t="shared" ca="1" si="31"/>
        <v>45.702870904652571</v>
      </c>
      <c r="N69" s="227">
        <f t="shared" ca="1" si="31"/>
        <v>10.075092308616263</v>
      </c>
      <c r="O69" s="227">
        <f t="shared" ca="1" si="31"/>
        <v>-27.849022787184708</v>
      </c>
      <c r="P69" s="216"/>
      <c r="Q69" s="216"/>
    </row>
    <row r="70" spans="1:18">
      <c r="A70" s="78"/>
      <c r="B70" s="222" t="s">
        <v>184</v>
      </c>
      <c r="C70" s="222"/>
      <c r="D70" s="222"/>
      <c r="E70" s="222"/>
      <c r="F70" s="222"/>
      <c r="G70" s="222"/>
      <c r="H70" s="216"/>
      <c r="I70" s="285">
        <f ca="1">SUM(I67:I69)</f>
        <v>0</v>
      </c>
      <c r="J70" s="285">
        <f t="shared" ref="J70:O70" ca="1" si="32">SUM(J67:J69)</f>
        <v>0</v>
      </c>
      <c r="K70" s="227">
        <f t="shared" ca="1" si="32"/>
        <v>0</v>
      </c>
      <c r="L70" s="285">
        <f t="shared" ca="1" si="32"/>
        <v>0</v>
      </c>
      <c r="M70" s="285">
        <f t="shared" ca="1" si="32"/>
        <v>0</v>
      </c>
      <c r="N70" s="285">
        <f t="shared" ca="1" si="32"/>
        <v>0</v>
      </c>
      <c r="O70" s="285">
        <f t="shared" ca="1" si="32"/>
        <v>0</v>
      </c>
      <c r="P70" s="216"/>
      <c r="Q70" s="216"/>
    </row>
    <row r="71" spans="1:18" ht="6" customHeight="1">
      <c r="A71" s="78"/>
      <c r="B71" s="216"/>
      <c r="C71" s="216"/>
      <c r="D71" s="216"/>
      <c r="E71" s="216"/>
      <c r="F71" s="216"/>
      <c r="G71" s="216"/>
      <c r="H71" s="216"/>
      <c r="I71" s="227"/>
      <c r="J71" s="227"/>
      <c r="K71" s="227"/>
      <c r="L71" s="227"/>
      <c r="M71" s="227"/>
      <c r="N71" s="227"/>
      <c r="O71" s="227"/>
      <c r="P71" s="216"/>
      <c r="Q71" s="216"/>
    </row>
    <row r="72" spans="1:18">
      <c r="A72" s="78"/>
      <c r="B72" s="216" t="s">
        <v>185</v>
      </c>
      <c r="C72" s="216"/>
      <c r="D72" s="216"/>
      <c r="E72" s="216"/>
      <c r="F72" s="216"/>
      <c r="G72" s="216"/>
      <c r="H72" s="216"/>
      <c r="I72" s="227">
        <f>H8</f>
        <v>5</v>
      </c>
      <c r="J72" s="227">
        <f ca="1">I73</f>
        <v>5</v>
      </c>
      <c r="K72" s="227">
        <f t="shared" ref="K72:N72" ca="1" si="33">J73</f>
        <v>5</v>
      </c>
      <c r="L72" s="227">
        <f t="shared" ca="1" si="33"/>
        <v>5</v>
      </c>
      <c r="M72" s="227">
        <f t="shared" ca="1" si="33"/>
        <v>5</v>
      </c>
      <c r="N72" s="227">
        <f t="shared" ca="1" si="33"/>
        <v>5</v>
      </c>
      <c r="O72" s="227">
        <f ca="1">N73</f>
        <v>5</v>
      </c>
      <c r="P72" s="216"/>
      <c r="Q72" s="216"/>
    </row>
    <row r="73" spans="1:18">
      <c r="A73" s="78" t="s">
        <v>26</v>
      </c>
      <c r="B73" s="222" t="s">
        <v>186</v>
      </c>
      <c r="C73" s="222"/>
      <c r="D73" s="222"/>
      <c r="E73" s="222"/>
      <c r="F73" s="222"/>
      <c r="G73" s="222"/>
      <c r="H73" s="216"/>
      <c r="I73" s="233">
        <f ca="1">SUM(I70:I72)</f>
        <v>5</v>
      </c>
      <c r="J73" s="233">
        <f t="shared" ref="J73:N73" ca="1" si="34">SUM(J70:J72)</f>
        <v>5</v>
      </c>
      <c r="K73" s="233">
        <f t="shared" ca="1" si="34"/>
        <v>5</v>
      </c>
      <c r="L73" s="233">
        <f t="shared" ca="1" si="34"/>
        <v>5</v>
      </c>
      <c r="M73" s="233">
        <f t="shared" ca="1" si="34"/>
        <v>5</v>
      </c>
      <c r="N73" s="233">
        <f t="shared" ca="1" si="34"/>
        <v>5</v>
      </c>
      <c r="O73" s="233">
        <f ca="1">SUM(O70:O72)</f>
        <v>5</v>
      </c>
      <c r="P73" s="216"/>
      <c r="Q73" s="216"/>
    </row>
    <row r="74" spans="1:18">
      <c r="A74" s="78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</row>
    <row r="75" spans="1:18" s="138" customFormat="1">
      <c r="A75" s="137"/>
      <c r="B75" s="138" t="s">
        <v>187</v>
      </c>
      <c r="I75" s="139">
        <f>SUM(I50:I55)</f>
        <v>-4.7657371984141079</v>
      </c>
      <c r="J75" s="139">
        <f t="shared" ref="J75:O75" si="35">SUM(J50:J55)</f>
        <v>6.3789632899862312</v>
      </c>
      <c r="K75" s="139">
        <f t="shared" si="35"/>
        <v>7.2774765103802928</v>
      </c>
      <c r="L75" s="139">
        <f t="shared" si="35"/>
        <v>8.209458363584897</v>
      </c>
      <c r="M75" s="139">
        <f t="shared" si="35"/>
        <v>9.1728535026540072</v>
      </c>
      <c r="N75" s="139">
        <f t="shared" si="35"/>
        <v>10.165332866021576</v>
      </c>
      <c r="O75" s="139">
        <f t="shared" si="35"/>
        <v>11.184294076949879</v>
      </c>
    </row>
    <row r="76" spans="1:18">
      <c r="A76" s="78"/>
      <c r="B76" s="216"/>
      <c r="C76" s="216"/>
      <c r="D76" s="216"/>
      <c r="E76" s="216"/>
      <c r="F76" s="216"/>
      <c r="G76" s="216"/>
      <c r="H76" s="216"/>
      <c r="I76" s="227"/>
      <c r="J76" s="216"/>
      <c r="K76" s="216"/>
      <c r="L76" s="216"/>
      <c r="M76" s="216"/>
      <c r="N76" s="216"/>
      <c r="O76" s="216"/>
      <c r="P76" s="216"/>
      <c r="Q76" s="216"/>
    </row>
    <row r="77" spans="1:18">
      <c r="A77" s="78"/>
      <c r="B77" s="216"/>
      <c r="C77" s="216"/>
      <c r="D77" s="216"/>
      <c r="E77" s="216"/>
      <c r="F77" s="216"/>
      <c r="G77" s="216"/>
      <c r="P77" s="216"/>
      <c r="Q77" s="216"/>
    </row>
    <row r="78" spans="1:18" ht="16">
      <c r="A78" s="78"/>
      <c r="B78" s="341" t="s">
        <v>188</v>
      </c>
      <c r="C78" s="338"/>
      <c r="D78" s="338"/>
      <c r="E78" s="338"/>
      <c r="F78" s="338"/>
      <c r="G78" s="338"/>
      <c r="H78" s="342" t="str">
        <f>IS!H5</f>
        <v>Pro Forma</v>
      </c>
      <c r="I78" s="343" t="str">
        <f>IS!I5</f>
        <v>Projected Fiscal Year</v>
      </c>
      <c r="J78" s="344"/>
      <c r="K78" s="344"/>
      <c r="L78" s="344"/>
      <c r="M78" s="344"/>
      <c r="N78" s="344"/>
      <c r="O78" s="344"/>
      <c r="P78" s="338"/>
      <c r="Q78" s="338"/>
      <c r="R78" s="340"/>
    </row>
    <row r="79" spans="1:18">
      <c r="A79" s="78"/>
      <c r="B79" s="338"/>
      <c r="C79" s="338"/>
      <c r="D79" s="338"/>
      <c r="E79" s="338"/>
      <c r="F79" s="338"/>
      <c r="G79" s="338"/>
      <c r="H79" s="345">
        <f>IS!H6</f>
        <v>2025</v>
      </c>
      <c r="I79" s="346">
        <f>IS!I6</f>
        <v>2026</v>
      </c>
      <c r="J79" s="346">
        <f>IS!J6</f>
        <v>2027</v>
      </c>
      <c r="K79" s="346">
        <f>IS!K6</f>
        <v>2028</v>
      </c>
      <c r="L79" s="346">
        <f>IS!L6</f>
        <v>2029</v>
      </c>
      <c r="M79" s="346">
        <f>IS!M6</f>
        <v>2030</v>
      </c>
      <c r="N79" s="346">
        <f>IS!N6</f>
        <v>2031</v>
      </c>
      <c r="O79" s="346">
        <f>IS!O6</f>
        <v>2032</v>
      </c>
      <c r="P79" s="338"/>
      <c r="Q79" s="338"/>
      <c r="R79" s="340"/>
    </row>
    <row r="80" spans="1:18">
      <c r="A80" s="78"/>
      <c r="B80" s="338"/>
      <c r="C80" s="338"/>
      <c r="D80" s="338"/>
      <c r="E80" s="338"/>
      <c r="F80" s="338"/>
      <c r="G80" s="338"/>
      <c r="H80" s="347"/>
      <c r="I80" s="348"/>
      <c r="J80" s="348"/>
      <c r="K80" s="348"/>
      <c r="L80" s="348"/>
      <c r="M80" s="348"/>
      <c r="N80" s="348"/>
      <c r="O80" s="348"/>
      <c r="P80" s="338"/>
      <c r="Q80" s="349" t="s">
        <v>138</v>
      </c>
      <c r="R80" s="340"/>
    </row>
    <row r="81" spans="1:18">
      <c r="A81" s="78"/>
      <c r="B81" s="340" t="str">
        <f>C9&amp;" (Collection in days)"</f>
        <v>Accounts Receivable, net (Collection in days)</v>
      </c>
      <c r="C81" s="338"/>
      <c r="D81" s="338"/>
      <c r="E81" s="338"/>
      <c r="F81" s="338"/>
      <c r="G81" s="338"/>
      <c r="H81" s="350">
        <f>(H9/IS!H8)*Days</f>
        <v>55.93239980047634</v>
      </c>
      <c r="I81" s="337">
        <f t="shared" ref="I81:I84" si="36">H81</f>
        <v>55.93239980047634</v>
      </c>
      <c r="J81" s="373">
        <f>I81+$Q$81</f>
        <v>54.43239980047634</v>
      </c>
      <c r="K81" s="373">
        <f t="shared" ref="K81:O81" si="37">J81+$Q$81</f>
        <v>52.93239980047634</v>
      </c>
      <c r="L81" s="373">
        <f t="shared" si="37"/>
        <v>51.43239980047634</v>
      </c>
      <c r="M81" s="373">
        <f t="shared" si="37"/>
        <v>49.93239980047634</v>
      </c>
      <c r="N81" s="373">
        <f t="shared" si="37"/>
        <v>48.43239980047634</v>
      </c>
      <c r="O81" s="373">
        <f t="shared" si="37"/>
        <v>46.93239980047634</v>
      </c>
      <c r="P81" s="338"/>
      <c r="Q81" s="337">
        <v>-1.5</v>
      </c>
      <c r="R81" s="340"/>
    </row>
    <row r="82" spans="1:18">
      <c r="A82" s="78"/>
      <c r="B82" s="340" t="str">
        <f>C10&amp;" (Days outstanding)"</f>
        <v>Inventories (Days outstanding)</v>
      </c>
      <c r="C82" s="338"/>
      <c r="D82" s="338"/>
      <c r="E82" s="338"/>
      <c r="F82" s="338"/>
      <c r="G82" s="338"/>
      <c r="H82" s="350">
        <f>(H10/IS!H9)*Days</f>
        <v>102.95890297467928</v>
      </c>
      <c r="I82" s="337">
        <f t="shared" si="36"/>
        <v>102.95890297467928</v>
      </c>
      <c r="J82" s="373">
        <f t="shared" ref="J82:O82" si="38">I82+$Q$82</f>
        <v>100.95890297467928</v>
      </c>
      <c r="K82" s="373">
        <f t="shared" si="38"/>
        <v>98.958902974679276</v>
      </c>
      <c r="L82" s="373">
        <f t="shared" si="38"/>
        <v>96.958902974679276</v>
      </c>
      <c r="M82" s="373">
        <f t="shared" si="38"/>
        <v>94.958902974679276</v>
      </c>
      <c r="N82" s="373">
        <f t="shared" si="38"/>
        <v>92.958902974679276</v>
      </c>
      <c r="O82" s="373">
        <f t="shared" si="38"/>
        <v>90.958902974679276</v>
      </c>
      <c r="P82" s="338"/>
      <c r="Q82" s="337">
        <v>-2</v>
      </c>
      <c r="R82" s="340"/>
    </row>
    <row r="83" spans="1:18">
      <c r="A83" s="78"/>
      <c r="B83" s="340" t="str">
        <f>C11&amp;" as % of Sales"</f>
        <v>Other Current Assets as % of Sales</v>
      </c>
      <c r="C83" s="338"/>
      <c r="D83" s="338"/>
      <c r="E83" s="338"/>
      <c r="F83" s="338"/>
      <c r="G83" s="338"/>
      <c r="H83" s="351">
        <f>H11/IS!H8</f>
        <v>9.6861466498855374E-3</v>
      </c>
      <c r="I83" s="352">
        <f t="shared" si="36"/>
        <v>9.6861466498855374E-3</v>
      </c>
      <c r="J83" s="374">
        <f t="shared" ref="J83:O83" si="39">I83+$Q$83</f>
        <v>9.6861466498855374E-3</v>
      </c>
      <c r="K83" s="374">
        <f t="shared" si="39"/>
        <v>9.6861466498855374E-3</v>
      </c>
      <c r="L83" s="374">
        <f t="shared" si="39"/>
        <v>9.6861466498855374E-3</v>
      </c>
      <c r="M83" s="374">
        <f t="shared" si="39"/>
        <v>9.6861466498855374E-3</v>
      </c>
      <c r="N83" s="374">
        <f t="shared" si="39"/>
        <v>9.6861466498855374E-3</v>
      </c>
      <c r="O83" s="374">
        <f t="shared" si="39"/>
        <v>9.6861466498855374E-3</v>
      </c>
      <c r="P83" s="338"/>
      <c r="Q83" s="352">
        <v>0</v>
      </c>
      <c r="R83" s="340"/>
    </row>
    <row r="84" spans="1:18">
      <c r="A84" s="78"/>
      <c r="B84" s="340" t="str">
        <f>C23&amp;" (Days outstanding)"</f>
        <v>Accounts Payable (Days outstanding)</v>
      </c>
      <c r="C84" s="338"/>
      <c r="D84" s="338"/>
      <c r="E84" s="338"/>
      <c r="F84" s="338"/>
      <c r="G84" s="338"/>
      <c r="H84" s="350">
        <f>(H23/IS!H9)*Days</f>
        <v>53.830714012896273</v>
      </c>
      <c r="I84" s="337">
        <f t="shared" si="36"/>
        <v>53.830714012896273</v>
      </c>
      <c r="J84" s="373">
        <f>I84+$Q$84</f>
        <v>55.030714012896276</v>
      </c>
      <c r="K84" s="373">
        <f t="shared" ref="K84:O84" si="40">J84+$Q$84</f>
        <v>56.230714012896279</v>
      </c>
      <c r="L84" s="373">
        <f t="shared" si="40"/>
        <v>57.430714012896281</v>
      </c>
      <c r="M84" s="373">
        <f t="shared" si="40"/>
        <v>58.630714012896284</v>
      </c>
      <c r="N84" s="373">
        <f t="shared" si="40"/>
        <v>59.830714012896287</v>
      </c>
      <c r="O84" s="373">
        <f t="shared" si="40"/>
        <v>61.03071401289629</v>
      </c>
      <c r="P84" s="338"/>
      <c r="Q84" s="337">
        <v>1.2</v>
      </c>
      <c r="R84" s="340"/>
    </row>
    <row r="85" spans="1:18">
      <c r="A85" s="78"/>
      <c r="B85" s="340" t="str">
        <f>C24&amp;" as % of Cost of Sales"</f>
        <v>Accrued Liabilities as % of Cost of Sales</v>
      </c>
      <c r="C85" s="338"/>
      <c r="D85" s="338"/>
      <c r="E85" s="338"/>
      <c r="F85" s="338"/>
      <c r="G85" s="338"/>
      <c r="H85" s="351">
        <f>H24/IS!H9</f>
        <v>0.1378990765912512</v>
      </c>
      <c r="I85" s="352">
        <v>0.14000000000000001</v>
      </c>
      <c r="J85" s="353">
        <f>I85+$Q$85</f>
        <v>0.14000000000000001</v>
      </c>
      <c r="K85" s="353">
        <f>J85+$Q$85</f>
        <v>0.14000000000000001</v>
      </c>
      <c r="L85" s="353">
        <f t="shared" ref="L85:O85" si="41">K85+$Q$85</f>
        <v>0.14000000000000001</v>
      </c>
      <c r="M85" s="353">
        <f t="shared" si="41"/>
        <v>0.14000000000000001</v>
      </c>
      <c r="N85" s="353">
        <f t="shared" si="41"/>
        <v>0.14000000000000001</v>
      </c>
      <c r="O85" s="353">
        <f t="shared" si="41"/>
        <v>0.14000000000000001</v>
      </c>
      <c r="P85" s="338"/>
      <c r="Q85" s="352">
        <v>0</v>
      </c>
      <c r="R85" s="340"/>
    </row>
    <row r="86" spans="1:18">
      <c r="A86" s="78"/>
      <c r="B86" s="340" t="str">
        <f>C25&amp;" as % of Cost of Sales"</f>
        <v>Other Current Liabilities as % of Cost of Sales</v>
      </c>
      <c r="C86" s="338"/>
      <c r="D86" s="338"/>
      <c r="E86" s="338"/>
      <c r="F86" s="338"/>
      <c r="G86" s="338"/>
      <c r="H86" s="351">
        <f>H25/IS!H9</f>
        <v>0.17847513985935429</v>
      </c>
      <c r="I86" s="352">
        <v>0.18</v>
      </c>
      <c r="J86" s="353">
        <f>I86+$Q$86</f>
        <v>0.18</v>
      </c>
      <c r="K86" s="353">
        <f t="shared" ref="K86:O86" si="42">J86+$Q$86</f>
        <v>0.18</v>
      </c>
      <c r="L86" s="353">
        <f t="shared" si="42"/>
        <v>0.18</v>
      </c>
      <c r="M86" s="353">
        <f t="shared" si="42"/>
        <v>0.18</v>
      </c>
      <c r="N86" s="353">
        <f t="shared" si="42"/>
        <v>0.18</v>
      </c>
      <c r="O86" s="353">
        <f t="shared" si="42"/>
        <v>0.18</v>
      </c>
      <c r="P86" s="338"/>
      <c r="Q86" s="352">
        <v>0</v>
      </c>
      <c r="R86" s="340"/>
    </row>
    <row r="87" spans="1:18">
      <c r="A87" s="78"/>
      <c r="B87" s="340"/>
      <c r="C87" s="338"/>
      <c r="D87" s="338"/>
      <c r="E87" s="338"/>
      <c r="F87" s="338"/>
      <c r="G87" s="338"/>
      <c r="H87" s="351"/>
      <c r="I87" s="352"/>
      <c r="J87" s="353"/>
      <c r="K87" s="353"/>
      <c r="L87" s="353"/>
      <c r="M87" s="353"/>
      <c r="N87" s="353"/>
      <c r="O87" s="353"/>
      <c r="P87" s="338"/>
      <c r="Q87" s="352"/>
      <c r="R87" s="340"/>
    </row>
    <row r="88" spans="1:18">
      <c r="A88" s="78"/>
      <c r="B88" s="338" t="s">
        <v>189</v>
      </c>
      <c r="C88" s="338"/>
      <c r="D88" s="338"/>
      <c r="E88" s="338"/>
      <c r="F88" s="338"/>
      <c r="G88" s="338"/>
      <c r="H88" s="354">
        <v>27.577000000000002</v>
      </c>
      <c r="I88" s="355">
        <v>40</v>
      </c>
      <c r="J88" s="356">
        <f>J89*IS!J8</f>
        <v>36.958519318249998</v>
      </c>
      <c r="K88" s="356">
        <f>K89*IS!K8</f>
        <v>33.490976491052002</v>
      </c>
      <c r="L88" s="356">
        <f>L89*IS!L8</f>
        <v>29.577147699197162</v>
      </c>
      <c r="M88" s="356">
        <f>M89*IS!M8</f>
        <v>25.197348190826983</v>
      </c>
      <c r="N88" s="356">
        <f>N89*IS!N8</f>
        <v>20.332564883266947</v>
      </c>
      <c r="O88" s="356">
        <f>O89*IS!O8</f>
        <v>14.964592547032963</v>
      </c>
      <c r="P88" s="338"/>
      <c r="Q88" s="352"/>
      <c r="R88" s="340"/>
    </row>
    <row r="89" spans="1:18">
      <c r="A89" s="78"/>
      <c r="B89" s="338" t="s">
        <v>190</v>
      </c>
      <c r="C89" s="338"/>
      <c r="D89" s="338"/>
      <c r="E89" s="338"/>
      <c r="F89" s="338"/>
      <c r="G89" s="338"/>
      <c r="H89" s="357">
        <f>H88/IS!H8</f>
        <v>1.8219416558481243E-2</v>
      </c>
      <c r="I89" s="358">
        <f>I88/IS!I8</f>
        <v>2.5168546678451836E-2</v>
      </c>
      <c r="J89" s="359">
        <f>I89+$Q$89</f>
        <v>2.2168546678451837E-2</v>
      </c>
      <c r="K89" s="359">
        <f t="shared" ref="K89:O89" si="43">J89+$Q$89</f>
        <v>1.9168546678451838E-2</v>
      </c>
      <c r="L89" s="359">
        <f t="shared" si="43"/>
        <v>1.6168546678451839E-2</v>
      </c>
      <c r="M89" s="359">
        <f t="shared" si="43"/>
        <v>1.316854667845184E-2</v>
      </c>
      <c r="N89" s="359">
        <f t="shared" si="43"/>
        <v>1.016854667845184E-2</v>
      </c>
      <c r="O89" s="359">
        <f t="shared" si="43"/>
        <v>7.1685466784518403E-3</v>
      </c>
      <c r="P89" s="340"/>
      <c r="Q89" s="359">
        <v>-3.0000000000000001E-3</v>
      </c>
      <c r="R89" s="340"/>
    </row>
    <row r="90" spans="1:18" ht="4" customHeight="1">
      <c r="A90" s="78"/>
      <c r="B90" s="338"/>
      <c r="C90" s="338"/>
      <c r="D90" s="338"/>
      <c r="E90" s="338"/>
      <c r="F90" s="338"/>
      <c r="G90" s="338"/>
      <c r="H90" s="357"/>
      <c r="I90" s="360"/>
      <c r="J90" s="359"/>
      <c r="K90" s="358"/>
      <c r="L90" s="358"/>
      <c r="M90" s="358"/>
      <c r="N90" s="358"/>
      <c r="O90" s="358"/>
      <c r="P90" s="340"/>
      <c r="Q90" s="359"/>
      <c r="R90" s="340"/>
    </row>
    <row r="91" spans="1:18">
      <c r="A91" s="78"/>
      <c r="B91" s="338" t="s">
        <v>191</v>
      </c>
      <c r="C91" s="338"/>
      <c r="D91" s="338"/>
      <c r="E91" s="338"/>
      <c r="F91" s="338"/>
      <c r="G91" s="338"/>
      <c r="H91" s="361">
        <f>IS!H16</f>
        <v>40.639000000000003</v>
      </c>
      <c r="I91" s="362">
        <v>42</v>
      </c>
      <c r="J91" s="362">
        <f>J92*J88</f>
        <v>44.350223181899999</v>
      </c>
      <c r="K91" s="362">
        <f t="shared" ref="K91:O91" si="44">K92*K88</f>
        <v>40.189171789262403</v>
      </c>
      <c r="L91" s="362">
        <f t="shared" si="44"/>
        <v>35.492577239036592</v>
      </c>
      <c r="M91" s="362">
        <f t="shared" si="44"/>
        <v>30.236817828992379</v>
      </c>
      <c r="N91" s="362">
        <f t="shared" si="44"/>
        <v>24.399077859920336</v>
      </c>
      <c r="O91" s="362">
        <f t="shared" si="44"/>
        <v>17.957511056439554</v>
      </c>
      <c r="P91" s="340"/>
      <c r="Q91" s="359"/>
      <c r="R91" s="340"/>
    </row>
    <row r="92" spans="1:18">
      <c r="A92" s="78"/>
      <c r="B92" s="338" t="s">
        <v>192</v>
      </c>
      <c r="C92" s="338"/>
      <c r="D92" s="338"/>
      <c r="E92" s="338"/>
      <c r="F92" s="338"/>
      <c r="G92" s="338"/>
      <c r="H92" s="357">
        <f>H91/H88</f>
        <v>1.4736555825506763</v>
      </c>
      <c r="I92" s="359">
        <f>I91/I88</f>
        <v>1.05</v>
      </c>
      <c r="J92" s="353">
        <v>1.2</v>
      </c>
      <c r="K92" s="353">
        <v>1.2</v>
      </c>
      <c r="L92" s="353">
        <v>1.2</v>
      </c>
      <c r="M92" s="353">
        <v>1.2</v>
      </c>
      <c r="N92" s="353">
        <v>1.2</v>
      </c>
      <c r="O92" s="353">
        <v>1.2</v>
      </c>
      <c r="P92" s="338"/>
      <c r="Q92" s="359">
        <v>0</v>
      </c>
      <c r="R92" s="340"/>
    </row>
    <row r="93" spans="1:18" ht="4" customHeight="1">
      <c r="A93" s="78"/>
      <c r="B93" s="338"/>
      <c r="C93" s="338"/>
      <c r="D93" s="338"/>
      <c r="E93" s="338"/>
      <c r="F93" s="338"/>
      <c r="G93" s="338"/>
      <c r="H93" s="357"/>
      <c r="I93" s="359"/>
      <c r="J93" s="358"/>
      <c r="K93" s="358"/>
      <c r="L93" s="358"/>
      <c r="M93" s="358"/>
      <c r="N93" s="358"/>
      <c r="O93" s="358"/>
      <c r="P93" s="338"/>
      <c r="Q93" s="359"/>
      <c r="R93" s="340"/>
    </row>
    <row r="94" spans="1:18">
      <c r="A94" s="78"/>
      <c r="B94" s="338" t="s">
        <v>193</v>
      </c>
      <c r="C94" s="338"/>
      <c r="D94" s="338"/>
      <c r="E94" s="338"/>
      <c r="F94" s="338"/>
      <c r="G94" s="338"/>
      <c r="H94" s="354">
        <v>0</v>
      </c>
      <c r="I94" s="355">
        <v>0</v>
      </c>
      <c r="J94" s="362">
        <v>0</v>
      </c>
      <c r="K94" s="362">
        <v>0</v>
      </c>
      <c r="L94" s="362">
        <v>0</v>
      </c>
      <c r="M94" s="362">
        <v>0</v>
      </c>
      <c r="N94" s="362">
        <v>0</v>
      </c>
      <c r="O94" s="362">
        <v>0</v>
      </c>
      <c r="P94" s="338"/>
      <c r="Q94" s="340"/>
      <c r="R94" s="340"/>
    </row>
    <row r="95" spans="1:18">
      <c r="A95" s="78"/>
      <c r="B95" s="338"/>
      <c r="C95" s="338"/>
      <c r="D95" s="338"/>
      <c r="E95" s="338"/>
      <c r="F95" s="338"/>
      <c r="G95" s="338"/>
      <c r="H95" s="365"/>
      <c r="I95" s="337"/>
      <c r="J95" s="363"/>
      <c r="K95" s="363"/>
      <c r="L95" s="363"/>
      <c r="M95" s="363"/>
      <c r="N95" s="363"/>
      <c r="O95" s="363"/>
      <c r="P95" s="338"/>
      <c r="Q95" s="340"/>
      <c r="R95" s="340"/>
    </row>
    <row r="96" spans="1:18">
      <c r="A96" s="78" t="s">
        <v>26</v>
      </c>
    </row>
  </sheetData>
  <phoneticPr fontId="2" type="noConversion"/>
  <printOptions horizontalCentered="1"/>
  <pageMargins left="0.75" right="0.75" top="0.75" bottom="0.75" header="0.5" footer="0.25"/>
  <pageSetup scale="97" fitToHeight="3" orientation="landscape" r:id="rId1"/>
  <headerFooter alignWithMargins="0">
    <oddHeader>&amp;R&amp;8Training The Street, Inc.
&amp;D &amp;T</oddHeader>
    <oddFooter>&amp;L&amp;8COPYRIGHT 2014 © by Training The Street, Inc&amp;C&amp;8&amp;G&amp;R&amp;8For training purposes only!</oddFooter>
  </headerFooter>
  <rowBreaks count="2" manualBreakCount="2">
    <brk id="40" min="1" max="14" man="1"/>
    <brk id="76" min="1" max="14" man="1"/>
  </rowBreaks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53"/>
  <sheetViews>
    <sheetView showGridLines="0" zoomScaleNormal="100" workbookViewId="0"/>
  </sheetViews>
  <sheetFormatPr baseColWidth="10" defaultColWidth="9.1640625" defaultRowHeight="13"/>
  <cols>
    <col min="1" max="1" width="1.83203125" style="112" customWidth="1"/>
    <col min="2" max="3" width="1.83203125" style="107" customWidth="1"/>
    <col min="4" max="16384" width="9.1640625" style="107"/>
  </cols>
  <sheetData>
    <row r="1" spans="1:104" ht="18" customHeight="1">
      <c r="A1" s="304"/>
      <c r="B1" s="99" t="str">
        <f>'S&amp;U and Opening BS'!$B$17</f>
        <v>Leveraged Buyout for Brady Coporation</v>
      </c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  <c r="CF1" s="305"/>
      <c r="CG1" s="305"/>
      <c r="CH1" s="305"/>
      <c r="CI1" s="305"/>
      <c r="CJ1" s="305"/>
      <c r="CK1" s="305"/>
      <c r="CL1" s="305"/>
      <c r="CM1" s="305"/>
      <c r="CN1" s="305"/>
      <c r="CO1" s="305"/>
      <c r="CP1" s="305"/>
      <c r="CQ1" s="305"/>
      <c r="CR1" s="305"/>
      <c r="CS1" s="305"/>
      <c r="CT1" s="305"/>
      <c r="CU1" s="305"/>
      <c r="CV1" s="305"/>
      <c r="CW1" s="305"/>
      <c r="CX1" s="305"/>
      <c r="CY1" s="305"/>
      <c r="CZ1" s="305"/>
    </row>
    <row r="2" spans="1:104" ht="17" thickBot="1">
      <c r="A2" s="304"/>
      <c r="B2" s="108" t="s">
        <v>194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109"/>
      <c r="N2" s="109" t="s">
        <v>28</v>
      </c>
      <c r="O2" s="110">
        <f>FYE</f>
        <v>45869</v>
      </c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5"/>
      <c r="AX2" s="305"/>
      <c r="AY2" s="305"/>
      <c r="AZ2" s="305"/>
      <c r="BA2" s="305"/>
      <c r="BB2" s="305"/>
      <c r="BC2" s="305"/>
      <c r="BD2" s="305"/>
      <c r="BE2" s="305"/>
      <c r="BF2" s="305"/>
      <c r="BG2" s="305"/>
      <c r="BH2" s="305"/>
      <c r="BI2" s="305"/>
      <c r="BJ2" s="305"/>
      <c r="BK2" s="305"/>
      <c r="BL2" s="305"/>
      <c r="BM2" s="305"/>
      <c r="BN2" s="305"/>
      <c r="BO2" s="305"/>
      <c r="BP2" s="305"/>
      <c r="BQ2" s="305"/>
      <c r="BR2" s="305"/>
      <c r="BS2" s="305"/>
      <c r="BT2" s="305"/>
      <c r="BU2" s="305"/>
      <c r="BV2" s="305"/>
      <c r="BW2" s="305"/>
      <c r="BX2" s="305"/>
      <c r="BY2" s="305"/>
      <c r="BZ2" s="305"/>
      <c r="CA2" s="305"/>
      <c r="CB2" s="305"/>
      <c r="CC2" s="305"/>
      <c r="CD2" s="305"/>
      <c r="CE2" s="305"/>
      <c r="CF2" s="305"/>
      <c r="CG2" s="305"/>
      <c r="CH2" s="305"/>
      <c r="CI2" s="305"/>
      <c r="CJ2" s="305"/>
      <c r="CK2" s="305"/>
      <c r="CL2" s="305"/>
      <c r="CM2" s="305"/>
      <c r="CN2" s="305"/>
      <c r="CO2" s="305"/>
      <c r="CP2" s="305"/>
      <c r="CQ2" s="305"/>
      <c r="CR2" s="305"/>
      <c r="CS2" s="305"/>
      <c r="CT2" s="305"/>
      <c r="CU2" s="305"/>
      <c r="CV2" s="305"/>
      <c r="CW2" s="305"/>
      <c r="CX2" s="305"/>
      <c r="CY2" s="305"/>
      <c r="CZ2" s="305"/>
    </row>
    <row r="3" spans="1:104">
      <c r="A3" s="304"/>
      <c r="B3" s="147" t="str">
        <f>Subheader</f>
        <v>Dollars in Millions, except per share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305"/>
      <c r="AM3" s="305"/>
      <c r="AN3" s="305"/>
      <c r="AO3" s="305"/>
      <c r="AP3" s="305"/>
      <c r="AQ3" s="305"/>
      <c r="AR3" s="305"/>
      <c r="AS3" s="305"/>
      <c r="AT3" s="305"/>
      <c r="AU3" s="305"/>
      <c r="AV3" s="305"/>
      <c r="AW3" s="305"/>
      <c r="AX3" s="305"/>
      <c r="AY3" s="305"/>
      <c r="AZ3" s="305"/>
      <c r="BA3" s="305"/>
      <c r="BB3" s="305"/>
      <c r="BC3" s="305"/>
      <c r="BD3" s="305"/>
      <c r="BE3" s="305"/>
      <c r="BF3" s="305"/>
      <c r="BG3" s="305"/>
      <c r="BH3" s="305"/>
      <c r="BI3" s="305"/>
      <c r="BJ3" s="305"/>
      <c r="BK3" s="305"/>
      <c r="BL3" s="305"/>
      <c r="BM3" s="305"/>
      <c r="BN3" s="305"/>
      <c r="BO3" s="305"/>
      <c r="BP3" s="305"/>
      <c r="BQ3" s="305"/>
      <c r="BR3" s="305"/>
      <c r="BS3" s="305"/>
      <c r="BT3" s="305"/>
      <c r="BU3" s="305"/>
      <c r="BV3" s="305"/>
      <c r="BW3" s="305"/>
      <c r="BX3" s="305"/>
      <c r="BY3" s="305"/>
      <c r="BZ3" s="305"/>
      <c r="CA3" s="305"/>
      <c r="CB3" s="305"/>
      <c r="CC3" s="305"/>
      <c r="CD3" s="305"/>
      <c r="CE3" s="305"/>
      <c r="CF3" s="305"/>
      <c r="CG3" s="305"/>
      <c r="CH3" s="305"/>
      <c r="CI3" s="305"/>
      <c r="CJ3" s="305"/>
      <c r="CK3" s="305"/>
      <c r="CL3" s="305"/>
      <c r="CM3" s="305"/>
      <c r="CN3" s="305"/>
      <c r="CO3" s="305"/>
      <c r="CP3" s="305"/>
      <c r="CQ3" s="305"/>
      <c r="CR3" s="305"/>
      <c r="CS3" s="305"/>
      <c r="CT3" s="305"/>
      <c r="CU3" s="305"/>
      <c r="CV3" s="305"/>
      <c r="CW3" s="305"/>
      <c r="CX3" s="305"/>
      <c r="CY3" s="305"/>
      <c r="CZ3" s="305"/>
    </row>
    <row r="4" spans="1:104" ht="13" customHeight="1">
      <c r="A4" s="304"/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  <c r="AH4" s="305"/>
      <c r="AI4" s="305"/>
      <c r="AJ4" s="305"/>
      <c r="AK4" s="305"/>
      <c r="AL4" s="305"/>
      <c r="AM4" s="305"/>
      <c r="AN4" s="305"/>
      <c r="AO4" s="305"/>
      <c r="AP4" s="305"/>
      <c r="AQ4" s="305"/>
      <c r="AR4" s="305"/>
      <c r="AS4" s="305"/>
      <c r="AT4" s="305"/>
      <c r="AU4" s="305"/>
      <c r="AV4" s="305"/>
      <c r="AW4" s="305"/>
      <c r="AX4" s="305"/>
      <c r="AY4" s="305"/>
      <c r="AZ4" s="305"/>
      <c r="BA4" s="305"/>
      <c r="BB4" s="305"/>
      <c r="BC4" s="305"/>
      <c r="BD4" s="305"/>
      <c r="BE4" s="305"/>
      <c r="BF4" s="305"/>
      <c r="BG4" s="305"/>
      <c r="BH4" s="305"/>
      <c r="BI4" s="305"/>
      <c r="BJ4" s="305"/>
      <c r="BK4" s="305"/>
      <c r="BL4" s="305"/>
      <c r="BM4" s="305"/>
      <c r="BN4" s="305"/>
      <c r="BO4" s="305"/>
      <c r="BP4" s="305"/>
      <c r="BQ4" s="305"/>
      <c r="BR4" s="305"/>
      <c r="BS4" s="305"/>
      <c r="BT4" s="305"/>
      <c r="BU4" s="305"/>
      <c r="BV4" s="305"/>
      <c r="BW4" s="305"/>
      <c r="BX4" s="305"/>
      <c r="BY4" s="305"/>
      <c r="BZ4" s="305"/>
      <c r="CA4" s="305"/>
      <c r="CB4" s="305"/>
      <c r="CC4" s="305"/>
      <c r="CD4" s="305"/>
      <c r="CE4" s="305"/>
      <c r="CF4" s="305"/>
      <c r="CG4" s="305"/>
      <c r="CH4" s="305"/>
      <c r="CI4" s="305"/>
      <c r="CJ4" s="305"/>
      <c r="CK4" s="305"/>
      <c r="CL4" s="305"/>
      <c r="CM4" s="305"/>
      <c r="CN4" s="305"/>
      <c r="CO4" s="305"/>
      <c r="CP4" s="305"/>
      <c r="CQ4" s="305"/>
      <c r="CR4" s="305"/>
      <c r="CS4" s="305"/>
      <c r="CT4" s="305"/>
      <c r="CU4" s="305"/>
      <c r="CV4" s="305"/>
      <c r="CW4" s="305"/>
      <c r="CX4" s="305"/>
      <c r="CY4" s="305"/>
      <c r="CZ4" s="305"/>
    </row>
    <row r="5" spans="1:104">
      <c r="A5" s="304"/>
      <c r="B5" s="305"/>
      <c r="C5" s="305"/>
      <c r="D5" s="305"/>
      <c r="E5" s="305"/>
      <c r="F5" s="305"/>
      <c r="G5" s="305"/>
      <c r="H5" s="287" t="str">
        <f>IS!H5</f>
        <v>Pro Forma</v>
      </c>
      <c r="I5" s="141" t="str">
        <f>IS!I5</f>
        <v>Projected Fiscal Year</v>
      </c>
      <c r="J5" s="288"/>
      <c r="K5" s="288"/>
      <c r="L5" s="288"/>
      <c r="M5" s="288"/>
      <c r="N5" s="288"/>
      <c r="O5" s="288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M5" s="305"/>
      <c r="AN5" s="305"/>
      <c r="AO5" s="305"/>
      <c r="AP5" s="305"/>
      <c r="AQ5" s="305"/>
      <c r="AR5" s="305"/>
      <c r="AS5" s="305"/>
      <c r="AT5" s="305"/>
      <c r="AU5" s="305"/>
      <c r="AV5" s="305"/>
      <c r="AW5" s="305"/>
      <c r="AX5" s="305"/>
      <c r="AY5" s="305"/>
      <c r="AZ5" s="305"/>
      <c r="BA5" s="305"/>
      <c r="BB5" s="305"/>
      <c r="BC5" s="305"/>
      <c r="BD5" s="305"/>
      <c r="BE5" s="305"/>
      <c r="BF5" s="305"/>
      <c r="BG5" s="305"/>
      <c r="BH5" s="305"/>
      <c r="BI5" s="305"/>
      <c r="BJ5" s="305"/>
      <c r="BK5" s="305"/>
      <c r="BL5" s="305"/>
      <c r="BM5" s="305"/>
      <c r="BN5" s="305"/>
      <c r="BO5" s="305"/>
      <c r="BP5" s="305"/>
      <c r="BQ5" s="305"/>
      <c r="BR5" s="305"/>
      <c r="BS5" s="305"/>
      <c r="BT5" s="305"/>
      <c r="BU5" s="305"/>
      <c r="BV5" s="305"/>
      <c r="BW5" s="305"/>
      <c r="BX5" s="305"/>
      <c r="BY5" s="305"/>
      <c r="BZ5" s="305"/>
      <c r="CA5" s="305"/>
      <c r="CB5" s="305"/>
      <c r="CC5" s="305"/>
      <c r="CD5" s="305"/>
      <c r="CE5" s="305"/>
      <c r="CF5" s="305"/>
      <c r="CG5" s="305"/>
      <c r="CH5" s="305"/>
      <c r="CI5" s="305"/>
      <c r="CJ5" s="305"/>
      <c r="CK5" s="305"/>
      <c r="CL5" s="305"/>
      <c r="CM5" s="305"/>
      <c r="CN5" s="305"/>
      <c r="CO5" s="305"/>
      <c r="CP5" s="305"/>
      <c r="CQ5" s="305"/>
      <c r="CR5" s="305"/>
      <c r="CS5" s="305"/>
      <c r="CT5" s="305"/>
      <c r="CU5" s="305"/>
      <c r="CV5" s="305"/>
      <c r="CW5" s="305"/>
      <c r="CX5" s="305"/>
      <c r="CY5" s="305"/>
      <c r="CZ5" s="305"/>
    </row>
    <row r="6" spans="1:104">
      <c r="A6" s="304"/>
      <c r="B6" s="305"/>
      <c r="C6" s="305"/>
      <c r="D6" s="305"/>
      <c r="E6" s="305"/>
      <c r="F6" s="305"/>
      <c r="G6" s="305"/>
      <c r="H6" s="136">
        <f>YEAR(FYE)</f>
        <v>2025</v>
      </c>
      <c r="I6" s="289">
        <f>H6+1</f>
        <v>2026</v>
      </c>
      <c r="J6" s="289">
        <f t="shared" ref="J6:O6" si="0">I6+1</f>
        <v>2027</v>
      </c>
      <c r="K6" s="289">
        <f t="shared" si="0"/>
        <v>2028</v>
      </c>
      <c r="L6" s="289">
        <f t="shared" si="0"/>
        <v>2029</v>
      </c>
      <c r="M6" s="289">
        <f t="shared" si="0"/>
        <v>2030</v>
      </c>
      <c r="N6" s="289">
        <f t="shared" si="0"/>
        <v>2031</v>
      </c>
      <c r="O6" s="289">
        <f t="shared" si="0"/>
        <v>2032</v>
      </c>
      <c r="P6" s="305"/>
      <c r="Q6" s="111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305"/>
      <c r="AP6" s="305"/>
      <c r="AQ6" s="305"/>
      <c r="AR6" s="305"/>
      <c r="AS6" s="305"/>
      <c r="AT6" s="305"/>
      <c r="AU6" s="305"/>
      <c r="AV6" s="305"/>
      <c r="AW6" s="305"/>
      <c r="AX6" s="305"/>
      <c r="AY6" s="305"/>
      <c r="AZ6" s="305"/>
      <c r="BA6" s="305"/>
      <c r="BB6" s="305"/>
      <c r="BC6" s="305"/>
      <c r="BD6" s="305"/>
      <c r="BE6" s="305"/>
      <c r="BF6" s="305"/>
      <c r="BG6" s="305"/>
      <c r="BH6" s="305"/>
      <c r="BI6" s="305"/>
      <c r="BJ6" s="305"/>
      <c r="BK6" s="305"/>
      <c r="BL6" s="305"/>
      <c r="BM6" s="305"/>
      <c r="BN6" s="305"/>
      <c r="BO6" s="305"/>
      <c r="BP6" s="305"/>
      <c r="BQ6" s="305"/>
      <c r="BR6" s="305"/>
      <c r="BS6" s="305"/>
      <c r="BT6" s="305"/>
      <c r="BU6" s="305"/>
      <c r="BV6" s="305"/>
      <c r="BW6" s="305"/>
      <c r="BX6" s="305"/>
      <c r="BY6" s="305"/>
      <c r="BZ6" s="305"/>
      <c r="CA6" s="305"/>
      <c r="CB6" s="305"/>
      <c r="CC6" s="305"/>
      <c r="CD6" s="305"/>
      <c r="CE6" s="305"/>
      <c r="CF6" s="305"/>
      <c r="CG6" s="305"/>
      <c r="CH6" s="305"/>
      <c r="CI6" s="305"/>
      <c r="CJ6" s="305"/>
      <c r="CK6" s="305"/>
      <c r="CL6" s="305"/>
      <c r="CM6" s="305"/>
      <c r="CN6" s="305"/>
      <c r="CO6" s="305"/>
      <c r="CP6" s="305"/>
      <c r="CQ6" s="305"/>
      <c r="CR6" s="305"/>
      <c r="CS6" s="305"/>
      <c r="CT6" s="305"/>
      <c r="CU6" s="305"/>
      <c r="CV6" s="305"/>
      <c r="CW6" s="305"/>
      <c r="CX6" s="305"/>
      <c r="CY6" s="305"/>
      <c r="CZ6" s="305"/>
    </row>
    <row r="7" spans="1:104" ht="7" customHeight="1">
      <c r="A7" s="304"/>
      <c r="B7" s="305"/>
      <c r="C7" s="305"/>
      <c r="D7" s="305"/>
      <c r="E7" s="305"/>
      <c r="F7" s="305"/>
      <c r="G7" s="305"/>
      <c r="H7" s="307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J7" s="305"/>
      <c r="AK7" s="305"/>
      <c r="AL7" s="305"/>
      <c r="AM7" s="305"/>
      <c r="AN7" s="305"/>
      <c r="AO7" s="305"/>
      <c r="AP7" s="305"/>
      <c r="AQ7" s="305"/>
      <c r="AR7" s="305"/>
      <c r="AS7" s="305"/>
      <c r="AT7" s="305"/>
      <c r="AU7" s="305"/>
      <c r="AV7" s="305"/>
      <c r="AW7" s="305"/>
      <c r="AX7" s="305"/>
      <c r="AY7" s="305"/>
      <c r="AZ7" s="305"/>
      <c r="BA7" s="305"/>
      <c r="BB7" s="305"/>
      <c r="BC7" s="305"/>
      <c r="BD7" s="305"/>
      <c r="BE7" s="305"/>
      <c r="BF7" s="305"/>
      <c r="BG7" s="305"/>
      <c r="BH7" s="305"/>
      <c r="BI7" s="305"/>
      <c r="BJ7" s="305"/>
      <c r="BK7" s="305"/>
      <c r="BL7" s="305"/>
      <c r="BM7" s="305"/>
      <c r="BN7" s="305"/>
      <c r="BO7" s="305"/>
      <c r="BP7" s="305"/>
      <c r="BQ7" s="305"/>
      <c r="BR7" s="305"/>
      <c r="BS7" s="305"/>
      <c r="BT7" s="305"/>
      <c r="BU7" s="305"/>
      <c r="BV7" s="305"/>
      <c r="BW7" s="305"/>
      <c r="BX7" s="305"/>
      <c r="BY7" s="305"/>
      <c r="BZ7" s="305"/>
      <c r="CA7" s="305"/>
      <c r="CB7" s="305"/>
      <c r="CC7" s="305"/>
      <c r="CD7" s="305"/>
      <c r="CE7" s="305"/>
      <c r="CF7" s="305"/>
      <c r="CG7" s="305"/>
      <c r="CH7" s="305"/>
      <c r="CI7" s="305"/>
      <c r="CJ7" s="305"/>
      <c r="CK7" s="305"/>
      <c r="CL7" s="305"/>
      <c r="CM7" s="305"/>
      <c r="CN7" s="305"/>
      <c r="CO7" s="305"/>
      <c r="CP7" s="305"/>
      <c r="CQ7" s="305"/>
      <c r="CR7" s="305"/>
      <c r="CS7" s="305"/>
      <c r="CT7" s="305"/>
      <c r="CU7" s="305"/>
      <c r="CV7" s="305"/>
      <c r="CW7" s="305"/>
      <c r="CX7" s="305"/>
      <c r="CY7" s="305"/>
      <c r="CZ7" s="305"/>
    </row>
    <row r="8" spans="1:104">
      <c r="A8" s="304" t="s">
        <v>26</v>
      </c>
      <c r="B8" s="113" t="s">
        <v>195</v>
      </c>
      <c r="C8" s="305"/>
      <c r="D8" s="305"/>
      <c r="E8" s="305"/>
      <c r="F8" s="305"/>
      <c r="G8" s="305"/>
      <c r="H8" s="308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  <c r="AK8" s="305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305"/>
      <c r="AZ8" s="305"/>
      <c r="BA8" s="305"/>
      <c r="BB8" s="305"/>
      <c r="BC8" s="305"/>
      <c r="BD8" s="305"/>
      <c r="BE8" s="305"/>
      <c r="BF8" s="305"/>
      <c r="BG8" s="305"/>
      <c r="BH8" s="305"/>
      <c r="BI8" s="305"/>
      <c r="BJ8" s="305"/>
      <c r="BK8" s="305"/>
      <c r="BL8" s="305"/>
      <c r="BM8" s="305"/>
      <c r="BN8" s="305"/>
      <c r="BO8" s="305"/>
      <c r="BP8" s="305"/>
      <c r="BQ8" s="305"/>
      <c r="BR8" s="305"/>
      <c r="BS8" s="305"/>
      <c r="BT8" s="305"/>
      <c r="BU8" s="305"/>
      <c r="BV8" s="305"/>
      <c r="BW8" s="305"/>
      <c r="BX8" s="305"/>
      <c r="BY8" s="305"/>
      <c r="BZ8" s="305"/>
      <c r="CA8" s="305"/>
      <c r="CB8" s="305"/>
      <c r="CC8" s="305"/>
      <c r="CD8" s="305"/>
      <c r="CE8" s="305"/>
      <c r="CF8" s="305"/>
      <c r="CG8" s="305"/>
      <c r="CH8" s="305"/>
      <c r="CI8" s="305"/>
      <c r="CJ8" s="305"/>
      <c r="CK8" s="305"/>
      <c r="CL8" s="305"/>
      <c r="CM8" s="305"/>
      <c r="CN8" s="305"/>
      <c r="CO8" s="305"/>
      <c r="CP8" s="305"/>
      <c r="CQ8" s="305"/>
      <c r="CR8" s="305"/>
      <c r="CS8" s="305"/>
      <c r="CT8" s="305"/>
      <c r="CU8" s="305"/>
      <c r="CV8" s="305"/>
      <c r="CW8" s="305"/>
      <c r="CX8" s="305"/>
      <c r="CY8" s="305"/>
      <c r="CZ8" s="305"/>
    </row>
    <row r="9" spans="1:104">
      <c r="A9" s="304"/>
      <c r="B9" s="113"/>
      <c r="C9" s="305" t="s">
        <v>134</v>
      </c>
      <c r="D9" s="305"/>
      <c r="E9" s="305"/>
      <c r="F9" s="305"/>
      <c r="G9" s="305"/>
      <c r="H9" s="309">
        <f ca="1">'BS and Cash Flow'!H29+'BS and Cash Flow'!H30</f>
        <v>1879.2212878766579</v>
      </c>
      <c r="I9" s="310">
        <f ca="1">'BS and Cash Flow'!I29+'BS and Cash Flow'!I30</f>
        <v>1793.4883865900165</v>
      </c>
      <c r="J9" s="310">
        <f ca="1">'BS and Cash Flow'!J29+'BS and Cash Flow'!J30</f>
        <v>1624.0819004047448</v>
      </c>
      <c r="K9" s="310">
        <f ca="1">'BS and Cash Flow'!K29+'BS and Cash Flow'!K30</f>
        <v>1426.9006716206306</v>
      </c>
      <c r="L9" s="310">
        <f ca="1">'BS and Cash Flow'!L29+'BS and Cash Flow'!L30</f>
        <v>1198.7390279607321</v>
      </c>
      <c r="M9" s="310">
        <f ca="1">'BS and Cash Flow'!M29+'BS and Cash Flow'!M30</f>
        <v>937.15635568388598</v>
      </c>
      <c r="N9" s="310">
        <f ca="1">'BS and Cash Flow'!N29+'BS and Cash Flow'!N30</f>
        <v>639.94590481100352</v>
      </c>
      <c r="O9" s="310">
        <f ca="1">'BS and Cash Flow'!O29+'BS and Cash Flow'!O30</f>
        <v>304.8113388423202</v>
      </c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5"/>
      <c r="BD9" s="305"/>
      <c r="BE9" s="305"/>
      <c r="BF9" s="305"/>
      <c r="BG9" s="305"/>
      <c r="BH9" s="305"/>
      <c r="BI9" s="305"/>
      <c r="BJ9" s="305"/>
      <c r="BK9" s="305"/>
      <c r="BL9" s="305"/>
      <c r="BM9" s="305"/>
      <c r="BN9" s="305"/>
      <c r="BO9" s="305"/>
      <c r="BP9" s="305"/>
      <c r="BQ9" s="305"/>
      <c r="BR9" s="305"/>
      <c r="BS9" s="305"/>
      <c r="BT9" s="305"/>
      <c r="BU9" s="305"/>
      <c r="BV9" s="305"/>
      <c r="BW9" s="305"/>
      <c r="BX9" s="305"/>
      <c r="BY9" s="305"/>
      <c r="BZ9" s="305"/>
      <c r="CA9" s="305"/>
      <c r="CB9" s="305"/>
      <c r="CC9" s="305"/>
      <c r="CD9" s="305"/>
      <c r="CE9" s="305"/>
      <c r="CF9" s="305"/>
      <c r="CG9" s="305"/>
      <c r="CH9" s="305"/>
      <c r="CI9" s="305"/>
      <c r="CJ9" s="305"/>
      <c r="CK9" s="305"/>
      <c r="CL9" s="305"/>
      <c r="CM9" s="305"/>
      <c r="CN9" s="305"/>
      <c r="CO9" s="305"/>
      <c r="CP9" s="305"/>
      <c r="CQ9" s="305"/>
      <c r="CR9" s="305"/>
      <c r="CS9" s="309">
        <f>SUM('BS and Cash Flow'!CS28:CS30)</f>
        <v>0</v>
      </c>
      <c r="CT9" s="310">
        <f>SUM('BS and Cash Flow'!CT28:CT30)</f>
        <v>0</v>
      </c>
      <c r="CU9" s="310">
        <f>SUM('BS and Cash Flow'!CU28:CU30)</f>
        <v>0</v>
      </c>
      <c r="CV9" s="310">
        <f>SUM('BS and Cash Flow'!CV28:CV30)</f>
        <v>0</v>
      </c>
      <c r="CW9" s="310">
        <f>SUM('BS and Cash Flow'!CW28:CW30)</f>
        <v>0</v>
      </c>
      <c r="CX9" s="310">
        <f>SUM('BS and Cash Flow'!CX28:CX30)</f>
        <v>0</v>
      </c>
      <c r="CY9" s="310">
        <f>SUM('BS and Cash Flow'!CY28:CY30)</f>
        <v>0</v>
      </c>
      <c r="CZ9" s="310">
        <f>SUM('BS and Cash Flow'!CZ28:CZ30)</f>
        <v>0</v>
      </c>
    </row>
    <row r="10" spans="1:104">
      <c r="A10" s="304"/>
      <c r="B10" s="113"/>
      <c r="C10" s="305" t="s">
        <v>121</v>
      </c>
      <c r="D10" s="305"/>
      <c r="E10" s="305"/>
      <c r="F10" s="305"/>
      <c r="G10" s="305"/>
      <c r="H10" s="311">
        <f ca="1">'BS and Cash Flow'!H31</f>
        <v>819.42811515066319</v>
      </c>
      <c r="I10" s="312">
        <f ca="1">'BS and Cash Flow'!I31</f>
        <v>819.42811515066319</v>
      </c>
      <c r="J10" s="364">
        <f ca="1">'BS and Cash Flow'!J31</f>
        <v>819.42811515066319</v>
      </c>
      <c r="K10" s="364">
        <f ca="1">'BS and Cash Flow'!K31</f>
        <v>819.42811515066319</v>
      </c>
      <c r="L10" s="364">
        <f ca="1">'BS and Cash Flow'!L31</f>
        <v>819.42811515066319</v>
      </c>
      <c r="M10" s="364">
        <f ca="1">'BS and Cash Flow'!M31</f>
        <v>819.42811515066319</v>
      </c>
      <c r="N10" s="364">
        <f ca="1">'BS and Cash Flow'!N31</f>
        <v>819.42811515066319</v>
      </c>
      <c r="O10" s="364">
        <f ca="1">'BS and Cash Flow'!O31</f>
        <v>819.42811515066319</v>
      </c>
      <c r="P10" s="305"/>
      <c r="Q10" s="305"/>
      <c r="R10" s="305"/>
      <c r="S10" s="305"/>
      <c r="T10" s="305"/>
      <c r="U10" s="305"/>
      <c r="V10" s="305"/>
      <c r="W10" s="305"/>
      <c r="X10" s="305"/>
      <c r="Y10" s="305"/>
      <c r="Z10" s="305"/>
      <c r="AA10" s="305"/>
      <c r="AB10" s="305"/>
      <c r="AC10" s="305"/>
      <c r="AD10" s="305"/>
      <c r="AE10" s="305"/>
      <c r="AF10" s="305"/>
      <c r="AG10" s="305"/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  <c r="AX10" s="305"/>
      <c r="AY10" s="305"/>
      <c r="AZ10" s="305"/>
      <c r="BA10" s="305"/>
      <c r="BB10" s="305"/>
      <c r="BC10" s="305"/>
      <c r="BD10" s="305"/>
      <c r="BE10" s="305"/>
      <c r="BF10" s="305"/>
      <c r="BG10" s="305"/>
      <c r="BH10" s="305"/>
      <c r="BI10" s="305"/>
      <c r="BJ10" s="305"/>
      <c r="BK10" s="305"/>
      <c r="BL10" s="305"/>
      <c r="BM10" s="305"/>
      <c r="BN10" s="305"/>
      <c r="BO10" s="305"/>
      <c r="BP10" s="305"/>
      <c r="BQ10" s="305"/>
      <c r="BR10" s="305"/>
      <c r="BS10" s="305"/>
      <c r="BT10" s="305"/>
      <c r="BU10" s="305"/>
      <c r="BV10" s="305"/>
      <c r="BW10" s="305"/>
      <c r="BX10" s="305"/>
      <c r="BY10" s="305"/>
      <c r="BZ10" s="305"/>
      <c r="CA10" s="305"/>
      <c r="CB10" s="305"/>
      <c r="CC10" s="305"/>
      <c r="CD10" s="305"/>
      <c r="CE10" s="305"/>
      <c r="CF10" s="305"/>
      <c r="CG10" s="305"/>
      <c r="CH10" s="305"/>
      <c r="CI10" s="305"/>
      <c r="CJ10" s="305"/>
      <c r="CK10" s="305"/>
      <c r="CL10" s="305"/>
      <c r="CM10" s="305"/>
      <c r="CN10" s="305"/>
      <c r="CO10" s="305"/>
      <c r="CP10" s="305"/>
      <c r="CQ10" s="305"/>
      <c r="CR10" s="305"/>
      <c r="CS10" s="311">
        <f>'BS and Cash Flow'!CS31</f>
        <v>0</v>
      </c>
      <c r="CT10" s="312">
        <f>'BS and Cash Flow'!CT31</f>
        <v>0</v>
      </c>
      <c r="CU10" s="312">
        <f>'BS and Cash Flow'!CU31</f>
        <v>0</v>
      </c>
      <c r="CV10" s="312">
        <f>'BS and Cash Flow'!CV31</f>
        <v>0</v>
      </c>
      <c r="CW10" s="312">
        <f>'BS and Cash Flow'!CW31</f>
        <v>0</v>
      </c>
      <c r="CX10" s="312">
        <f>'BS and Cash Flow'!CX31</f>
        <v>0</v>
      </c>
      <c r="CY10" s="312">
        <f>'BS and Cash Flow'!CY31</f>
        <v>0</v>
      </c>
      <c r="CZ10" s="312">
        <f>'BS and Cash Flow'!CZ31</f>
        <v>0</v>
      </c>
    </row>
    <row r="11" spans="1:104">
      <c r="A11" s="304"/>
      <c r="B11" s="305"/>
      <c r="C11" s="305" t="s">
        <v>196</v>
      </c>
      <c r="D11" s="305"/>
      <c r="E11" s="305"/>
      <c r="F11" s="305"/>
      <c r="G11" s="305"/>
      <c r="H11" s="307">
        <f ca="1">SUM(H9:H10)</f>
        <v>2698.6494030273211</v>
      </c>
      <c r="I11" s="313">
        <f ca="1">SUM(I9:I10)</f>
        <v>2612.9165017406795</v>
      </c>
      <c r="J11" s="305">
        <f t="shared" ref="J11:O11" ca="1" si="1">SUM(J9:J10)</f>
        <v>2443.5100155554082</v>
      </c>
      <c r="K11" s="305">
        <f t="shared" ca="1" si="1"/>
        <v>2246.3287867712938</v>
      </c>
      <c r="L11" s="305">
        <f t="shared" ca="1" si="1"/>
        <v>2018.1671431113953</v>
      </c>
      <c r="M11" s="305">
        <f t="shared" ca="1" si="1"/>
        <v>1756.5844708345492</v>
      </c>
      <c r="N11" s="305">
        <f t="shared" ca="1" si="1"/>
        <v>1459.3740199616668</v>
      </c>
      <c r="O11" s="305">
        <f t="shared" ca="1" si="1"/>
        <v>1124.2394539929833</v>
      </c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305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05"/>
      <c r="AX11" s="305"/>
      <c r="AY11" s="305"/>
      <c r="AZ11" s="305"/>
      <c r="BA11" s="305"/>
      <c r="BB11" s="305"/>
      <c r="BC11" s="305"/>
      <c r="BD11" s="305"/>
      <c r="BE11" s="305"/>
      <c r="BF11" s="305"/>
      <c r="BG11" s="305"/>
      <c r="BH11" s="305"/>
      <c r="BI11" s="305"/>
      <c r="BJ11" s="305"/>
      <c r="BK11" s="305"/>
      <c r="BL11" s="305"/>
      <c r="BM11" s="305"/>
      <c r="BN11" s="305"/>
      <c r="BO11" s="305"/>
      <c r="BP11" s="305"/>
      <c r="BQ11" s="305"/>
      <c r="BR11" s="305"/>
      <c r="BS11" s="305"/>
      <c r="BT11" s="305"/>
      <c r="BU11" s="305"/>
      <c r="BV11" s="305"/>
      <c r="BW11" s="305"/>
      <c r="BX11" s="305"/>
      <c r="BY11" s="305"/>
      <c r="BZ11" s="305"/>
      <c r="CA11" s="305"/>
      <c r="CB11" s="305"/>
      <c r="CC11" s="305"/>
      <c r="CD11" s="305"/>
      <c r="CE11" s="305"/>
      <c r="CF11" s="305"/>
      <c r="CG11" s="305"/>
      <c r="CH11" s="305"/>
      <c r="CI11" s="305"/>
      <c r="CJ11" s="305"/>
      <c r="CK11" s="305"/>
      <c r="CL11" s="305"/>
      <c r="CM11" s="305"/>
      <c r="CN11" s="305"/>
      <c r="CO11" s="305"/>
      <c r="CP11" s="305"/>
      <c r="CQ11" s="305"/>
      <c r="CR11" s="305"/>
      <c r="CS11" s="307">
        <f t="shared" ref="CS11:CZ11" si="2">SUM(CS9:CS10)</f>
        <v>0</v>
      </c>
      <c r="CT11" s="313">
        <f t="shared" si="2"/>
        <v>0</v>
      </c>
      <c r="CU11" s="313">
        <f t="shared" si="2"/>
        <v>0</v>
      </c>
      <c r="CV11" s="313">
        <f t="shared" si="2"/>
        <v>0</v>
      </c>
      <c r="CW11" s="313">
        <f t="shared" si="2"/>
        <v>0</v>
      </c>
      <c r="CX11" s="313">
        <f t="shared" si="2"/>
        <v>0</v>
      </c>
      <c r="CY11" s="313">
        <f t="shared" si="2"/>
        <v>0</v>
      </c>
      <c r="CZ11" s="313">
        <f t="shared" si="2"/>
        <v>0</v>
      </c>
    </row>
    <row r="12" spans="1:104">
      <c r="A12" s="304"/>
      <c r="B12" s="305"/>
      <c r="C12" s="305"/>
      <c r="D12" s="305" t="s">
        <v>197</v>
      </c>
      <c r="E12" s="305"/>
      <c r="F12" s="305"/>
      <c r="G12" s="305"/>
      <c r="H12" s="311">
        <f>'BS and Cash Flow'!H8</f>
        <v>5</v>
      </c>
      <c r="I12" s="312">
        <f ca="1">'BS and Cash Flow'!I8</f>
        <v>5</v>
      </c>
      <c r="J12" s="364">
        <f ca="1">'BS and Cash Flow'!J8</f>
        <v>5</v>
      </c>
      <c r="K12" s="364">
        <f ca="1">'BS and Cash Flow'!K8</f>
        <v>5</v>
      </c>
      <c r="L12" s="364">
        <f ca="1">'BS and Cash Flow'!L8</f>
        <v>5</v>
      </c>
      <c r="M12" s="364">
        <f ca="1">'BS and Cash Flow'!M8</f>
        <v>5</v>
      </c>
      <c r="N12" s="364">
        <f ca="1">'BS and Cash Flow'!N8</f>
        <v>5</v>
      </c>
      <c r="O12" s="364">
        <f ca="1">'BS and Cash Flow'!O8</f>
        <v>5</v>
      </c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305"/>
      <c r="BD12" s="305"/>
      <c r="BE12" s="305"/>
      <c r="BF12" s="305"/>
      <c r="BG12" s="305"/>
      <c r="BH12" s="305"/>
      <c r="BI12" s="305"/>
      <c r="BJ12" s="305"/>
      <c r="BK12" s="305"/>
      <c r="BL12" s="305"/>
      <c r="BM12" s="305"/>
      <c r="BN12" s="305"/>
      <c r="BO12" s="305"/>
      <c r="BP12" s="305"/>
      <c r="BQ12" s="305"/>
      <c r="BR12" s="305"/>
      <c r="BS12" s="305"/>
      <c r="BT12" s="305"/>
      <c r="BU12" s="305"/>
      <c r="BV12" s="305"/>
      <c r="BW12" s="305"/>
      <c r="BX12" s="305"/>
      <c r="BY12" s="305"/>
      <c r="BZ12" s="305"/>
      <c r="CA12" s="305"/>
      <c r="CB12" s="305"/>
      <c r="CC12" s="305"/>
      <c r="CD12" s="305"/>
      <c r="CE12" s="305"/>
      <c r="CF12" s="305"/>
      <c r="CG12" s="305"/>
      <c r="CH12" s="305"/>
      <c r="CI12" s="305"/>
      <c r="CJ12" s="305"/>
      <c r="CK12" s="305"/>
      <c r="CL12" s="305"/>
      <c r="CM12" s="305"/>
      <c r="CN12" s="305"/>
      <c r="CO12" s="305"/>
      <c r="CP12" s="305"/>
      <c r="CQ12" s="305"/>
      <c r="CR12" s="305"/>
      <c r="CS12" s="311">
        <f>-'BS and Cash Flow'!CS8</f>
        <v>0</v>
      </c>
      <c r="CT12" s="312">
        <f>-'BS and Cash Flow'!CT8</f>
        <v>0</v>
      </c>
      <c r="CU12" s="312">
        <f>-'BS and Cash Flow'!CU8</f>
        <v>0</v>
      </c>
      <c r="CV12" s="312">
        <f>-'BS and Cash Flow'!CV8</f>
        <v>0</v>
      </c>
      <c r="CW12" s="312">
        <f>-'BS and Cash Flow'!CW8</f>
        <v>0</v>
      </c>
      <c r="CX12" s="312">
        <f>-'BS and Cash Flow'!CX8</f>
        <v>0</v>
      </c>
      <c r="CY12" s="312">
        <f>-'BS and Cash Flow'!CY8</f>
        <v>0</v>
      </c>
      <c r="CZ12" s="312">
        <f>-'BS and Cash Flow'!CZ8</f>
        <v>0</v>
      </c>
    </row>
    <row r="13" spans="1:104">
      <c r="A13" s="304"/>
      <c r="B13" s="305"/>
      <c r="C13" s="305" t="s">
        <v>198</v>
      </c>
      <c r="D13" s="305"/>
      <c r="E13" s="305"/>
      <c r="F13" s="305"/>
      <c r="G13" s="305"/>
      <c r="H13" s="307">
        <f ca="1">H11-H12</f>
        <v>2693.6494030273211</v>
      </c>
      <c r="I13" s="313">
        <f t="shared" ref="I13:O13" ca="1" si="3">SUM(I11:I12)</f>
        <v>2617.9165017406795</v>
      </c>
      <c r="J13" s="305">
        <f t="shared" ca="1" si="3"/>
        <v>2448.5100155554082</v>
      </c>
      <c r="K13" s="305">
        <f t="shared" ca="1" si="3"/>
        <v>2251.3287867712938</v>
      </c>
      <c r="L13" s="305">
        <f t="shared" ca="1" si="3"/>
        <v>2023.1671431113953</v>
      </c>
      <c r="M13" s="305">
        <f t="shared" ca="1" si="3"/>
        <v>1761.5844708345492</v>
      </c>
      <c r="N13" s="305">
        <f t="shared" ca="1" si="3"/>
        <v>1464.3740199616668</v>
      </c>
      <c r="O13" s="305">
        <f t="shared" ca="1" si="3"/>
        <v>1129.2394539929833</v>
      </c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5"/>
      <c r="BD13" s="305"/>
      <c r="BE13" s="305"/>
      <c r="BF13" s="305"/>
      <c r="BG13" s="305"/>
      <c r="BH13" s="305"/>
      <c r="BI13" s="305"/>
      <c r="BJ13" s="305"/>
      <c r="BK13" s="305"/>
      <c r="BL13" s="305"/>
      <c r="BM13" s="305"/>
      <c r="BN13" s="305"/>
      <c r="BO13" s="305"/>
      <c r="BP13" s="305"/>
      <c r="BQ13" s="305"/>
      <c r="BR13" s="305"/>
      <c r="BS13" s="305"/>
      <c r="BT13" s="305"/>
      <c r="BU13" s="305"/>
      <c r="BV13" s="305"/>
      <c r="BW13" s="305"/>
      <c r="BX13" s="305"/>
      <c r="BY13" s="305"/>
      <c r="BZ13" s="305"/>
      <c r="CA13" s="305"/>
      <c r="CB13" s="305"/>
      <c r="CC13" s="305"/>
      <c r="CD13" s="305"/>
      <c r="CE13" s="305"/>
      <c r="CF13" s="305"/>
      <c r="CG13" s="305"/>
      <c r="CH13" s="305"/>
      <c r="CI13" s="305"/>
      <c r="CJ13" s="305"/>
      <c r="CK13" s="305"/>
      <c r="CL13" s="305"/>
      <c r="CM13" s="305"/>
      <c r="CN13" s="305"/>
      <c r="CO13" s="305"/>
      <c r="CP13" s="305"/>
      <c r="CQ13" s="305"/>
      <c r="CR13" s="305"/>
      <c r="CS13" s="307">
        <f t="shared" ref="CS13:CZ13" si="4">SUM(CS11:CS12)</f>
        <v>0</v>
      </c>
      <c r="CT13" s="313">
        <f t="shared" si="4"/>
        <v>0</v>
      </c>
      <c r="CU13" s="313">
        <f t="shared" si="4"/>
        <v>0</v>
      </c>
      <c r="CV13" s="313">
        <f t="shared" si="4"/>
        <v>0</v>
      </c>
      <c r="CW13" s="313">
        <f t="shared" si="4"/>
        <v>0</v>
      </c>
      <c r="CX13" s="313">
        <f t="shared" si="4"/>
        <v>0</v>
      </c>
      <c r="CY13" s="313">
        <f t="shared" si="4"/>
        <v>0</v>
      </c>
      <c r="CZ13" s="313">
        <f t="shared" si="4"/>
        <v>0</v>
      </c>
    </row>
    <row r="14" spans="1:104" ht="6" customHeight="1">
      <c r="A14" s="304"/>
      <c r="B14" s="305"/>
      <c r="C14" s="305"/>
      <c r="D14" s="305"/>
      <c r="E14" s="305"/>
      <c r="F14" s="305"/>
      <c r="G14" s="305"/>
      <c r="H14" s="308"/>
      <c r="I14" s="30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5"/>
      <c r="BD14" s="305"/>
      <c r="BE14" s="305"/>
      <c r="BF14" s="305"/>
      <c r="BG14" s="305"/>
      <c r="BH14" s="305"/>
      <c r="BI14" s="305"/>
      <c r="BJ14" s="305"/>
      <c r="BK14" s="305"/>
      <c r="BL14" s="305"/>
      <c r="BM14" s="305"/>
      <c r="BN14" s="305"/>
      <c r="BO14" s="305"/>
      <c r="BP14" s="305"/>
      <c r="BQ14" s="305"/>
      <c r="BR14" s="305"/>
      <c r="BS14" s="305"/>
      <c r="BT14" s="305"/>
      <c r="BU14" s="305"/>
      <c r="BV14" s="305"/>
      <c r="BW14" s="305"/>
      <c r="BX14" s="305"/>
      <c r="BY14" s="305"/>
      <c r="BZ14" s="305"/>
      <c r="CA14" s="305"/>
      <c r="CB14" s="305"/>
      <c r="CC14" s="305"/>
      <c r="CD14" s="305"/>
      <c r="CE14" s="305"/>
      <c r="CF14" s="305"/>
      <c r="CG14" s="305"/>
      <c r="CH14" s="305"/>
      <c r="CI14" s="305"/>
      <c r="CJ14" s="305"/>
      <c r="CK14" s="305"/>
      <c r="CL14" s="305"/>
      <c r="CM14" s="305"/>
      <c r="CN14" s="305"/>
      <c r="CO14" s="305"/>
      <c r="CP14" s="305"/>
      <c r="CQ14" s="305"/>
      <c r="CR14" s="305"/>
      <c r="CS14" s="308"/>
      <c r="CT14" s="305"/>
      <c r="CU14" s="305"/>
      <c r="CV14" s="305"/>
      <c r="CW14" s="305"/>
      <c r="CX14" s="305"/>
      <c r="CY14" s="305"/>
      <c r="CZ14" s="305"/>
    </row>
    <row r="15" spans="1:104">
      <c r="A15" s="304"/>
      <c r="B15" s="305"/>
      <c r="C15" s="305"/>
      <c r="D15" s="305" t="s">
        <v>199</v>
      </c>
      <c r="E15" s="305"/>
      <c r="F15" s="305"/>
      <c r="G15" s="305"/>
      <c r="H15" s="309">
        <f ca="1">'BS and Cash Flow'!H36</f>
        <v>2204.369946394424</v>
      </c>
      <c r="I15" s="310">
        <f ca="1">'BS and Cash Flow'!I36</f>
        <v>2226.0032624477349</v>
      </c>
      <c r="J15" s="310">
        <f ca="1">'BS and Cash Flow'!J36</f>
        <v>2381.6390814793699</v>
      </c>
      <c r="K15" s="310">
        <f ca="1">'BS and Cash Flow'!K36</f>
        <v>2564.8446384548929</v>
      </c>
      <c r="L15" s="310">
        <f ca="1">'BS and Cash Flow'!L36</f>
        <v>2778.8813942113679</v>
      </c>
      <c r="M15" s="310">
        <f ca="1">'BS and Cash Flow'!M36</f>
        <v>3026.2517433473945</v>
      </c>
      <c r="N15" s="310">
        <f ca="1">'BS and Cash Flow'!N36</f>
        <v>3309.2303483776018</v>
      </c>
      <c r="O15" s="310">
        <f ca="1">'BS and Cash Flow'!O36</f>
        <v>3630.187701759929</v>
      </c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305"/>
      <c r="BB15" s="305"/>
      <c r="BC15" s="305"/>
      <c r="BD15" s="305"/>
      <c r="BE15" s="305"/>
      <c r="BF15" s="305"/>
      <c r="BG15" s="305"/>
      <c r="BH15" s="305"/>
      <c r="BI15" s="305"/>
      <c r="BJ15" s="305"/>
      <c r="BK15" s="305"/>
      <c r="BL15" s="305"/>
      <c r="BM15" s="305"/>
      <c r="BN15" s="305"/>
      <c r="BO15" s="305"/>
      <c r="BP15" s="305"/>
      <c r="BQ15" s="305"/>
      <c r="BR15" s="305"/>
      <c r="BS15" s="305"/>
      <c r="BT15" s="305"/>
      <c r="BU15" s="305"/>
      <c r="BV15" s="305"/>
      <c r="BW15" s="305"/>
      <c r="BX15" s="305"/>
      <c r="BY15" s="305"/>
      <c r="BZ15" s="305"/>
      <c r="CA15" s="305"/>
      <c r="CB15" s="305"/>
      <c r="CC15" s="305"/>
      <c r="CD15" s="305"/>
      <c r="CE15" s="305"/>
      <c r="CF15" s="305"/>
      <c r="CG15" s="305"/>
      <c r="CH15" s="305"/>
      <c r="CI15" s="305"/>
      <c r="CJ15" s="305"/>
      <c r="CK15" s="305"/>
      <c r="CL15" s="305"/>
      <c r="CM15" s="305"/>
      <c r="CN15" s="305"/>
      <c r="CO15" s="305"/>
      <c r="CP15" s="305"/>
      <c r="CQ15" s="305"/>
      <c r="CR15" s="305"/>
      <c r="CS15" s="309">
        <f>'BS and Cash Flow'!CS36</f>
        <v>0</v>
      </c>
      <c r="CT15" s="310">
        <f>'BS and Cash Flow'!CT36</f>
        <v>0</v>
      </c>
      <c r="CU15" s="310">
        <f>'BS and Cash Flow'!CU36</f>
        <v>0</v>
      </c>
      <c r="CV15" s="310">
        <f>'BS and Cash Flow'!CV36</f>
        <v>0</v>
      </c>
      <c r="CW15" s="310">
        <f>'BS and Cash Flow'!CW36</f>
        <v>0</v>
      </c>
      <c r="CX15" s="310">
        <f>'BS and Cash Flow'!CX36</f>
        <v>0</v>
      </c>
      <c r="CY15" s="310">
        <f>'BS and Cash Flow'!CY36</f>
        <v>0</v>
      </c>
      <c r="CZ15" s="310">
        <f>'BS and Cash Flow'!CZ36</f>
        <v>0</v>
      </c>
    </row>
    <row r="16" spans="1:104">
      <c r="A16" s="304"/>
      <c r="B16" s="305"/>
      <c r="C16" s="305" t="s">
        <v>200</v>
      </c>
      <c r="D16" s="305"/>
      <c r="E16" s="305"/>
      <c r="F16" s="305"/>
      <c r="G16" s="305"/>
      <c r="H16" s="308">
        <f ca="1">H11+H15</f>
        <v>4903.0193494217456</v>
      </c>
      <c r="I16" s="305">
        <f t="shared" ref="I16:O16" ca="1" si="5">I11+I15</f>
        <v>4838.9197641884148</v>
      </c>
      <c r="J16" s="305">
        <f t="shared" ca="1" si="5"/>
        <v>4825.1490970347786</v>
      </c>
      <c r="K16" s="305">
        <f t="shared" ca="1" si="5"/>
        <v>4811.1734252261867</v>
      </c>
      <c r="L16" s="305">
        <f t="shared" ca="1" si="5"/>
        <v>4797.048537322763</v>
      </c>
      <c r="M16" s="305">
        <f t="shared" ca="1" si="5"/>
        <v>4782.8362141819434</v>
      </c>
      <c r="N16" s="305">
        <f t="shared" ca="1" si="5"/>
        <v>4768.6043683392691</v>
      </c>
      <c r="O16" s="305">
        <f t="shared" ca="1" si="5"/>
        <v>4754.4271557529119</v>
      </c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  <c r="AK16" s="305"/>
      <c r="AL16" s="305"/>
      <c r="AM16" s="305"/>
      <c r="AN16" s="305"/>
      <c r="AO16" s="305"/>
      <c r="AP16" s="305"/>
      <c r="AQ16" s="305"/>
      <c r="AR16" s="305"/>
      <c r="AS16" s="305"/>
      <c r="AT16" s="305"/>
      <c r="AU16" s="305"/>
      <c r="AV16" s="305"/>
      <c r="AW16" s="305"/>
      <c r="AX16" s="305"/>
      <c r="AY16" s="305"/>
      <c r="AZ16" s="305"/>
      <c r="BA16" s="305"/>
      <c r="BB16" s="305"/>
      <c r="BC16" s="305"/>
      <c r="BD16" s="305"/>
      <c r="BE16" s="305"/>
      <c r="BF16" s="305"/>
      <c r="BG16" s="305"/>
      <c r="BH16" s="305"/>
      <c r="BI16" s="305"/>
      <c r="BJ16" s="305"/>
      <c r="BK16" s="305"/>
      <c r="BL16" s="305"/>
      <c r="BM16" s="305"/>
      <c r="BN16" s="305"/>
      <c r="BO16" s="305"/>
      <c r="BP16" s="305"/>
      <c r="BQ16" s="305"/>
      <c r="BR16" s="305"/>
      <c r="BS16" s="305"/>
      <c r="BT16" s="305"/>
      <c r="BU16" s="305"/>
      <c r="BV16" s="305"/>
      <c r="BW16" s="305"/>
      <c r="BX16" s="305"/>
      <c r="BY16" s="305"/>
      <c r="BZ16" s="305"/>
      <c r="CA16" s="305"/>
      <c r="CB16" s="305"/>
      <c r="CC16" s="305"/>
      <c r="CD16" s="305"/>
      <c r="CE16" s="305"/>
      <c r="CF16" s="305"/>
      <c r="CG16" s="305"/>
      <c r="CH16" s="305"/>
      <c r="CI16" s="305"/>
      <c r="CJ16" s="305"/>
      <c r="CK16" s="305"/>
      <c r="CL16" s="305"/>
      <c r="CM16" s="305"/>
      <c r="CN16" s="305"/>
      <c r="CO16" s="305"/>
      <c r="CP16" s="305"/>
      <c r="CQ16" s="305"/>
      <c r="CR16" s="305"/>
      <c r="CS16" s="308">
        <f t="shared" ref="CS16:CZ16" si="6">CS11+CS15</f>
        <v>0</v>
      </c>
      <c r="CT16" s="305">
        <f t="shared" si="6"/>
        <v>0</v>
      </c>
      <c r="CU16" s="305">
        <f t="shared" si="6"/>
        <v>0</v>
      </c>
      <c r="CV16" s="305">
        <f t="shared" si="6"/>
        <v>0</v>
      </c>
      <c r="CW16" s="305">
        <f t="shared" si="6"/>
        <v>0</v>
      </c>
      <c r="CX16" s="305">
        <f t="shared" si="6"/>
        <v>0</v>
      </c>
      <c r="CY16" s="305">
        <f t="shared" si="6"/>
        <v>0</v>
      </c>
      <c r="CZ16" s="305">
        <f t="shared" si="6"/>
        <v>0</v>
      </c>
    </row>
    <row r="17" spans="1:104" ht="7" customHeight="1">
      <c r="A17" s="304"/>
      <c r="B17" s="305"/>
      <c r="C17" s="305"/>
      <c r="D17" s="305"/>
      <c r="E17" s="305"/>
      <c r="F17" s="305"/>
      <c r="G17" s="305"/>
      <c r="H17" s="308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5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  <c r="AX17" s="305"/>
      <c r="AY17" s="305"/>
      <c r="AZ17" s="305"/>
      <c r="BA17" s="305"/>
      <c r="BB17" s="305"/>
      <c r="BC17" s="305"/>
      <c r="BD17" s="305"/>
      <c r="BE17" s="305"/>
      <c r="BF17" s="305"/>
      <c r="BG17" s="305"/>
      <c r="BH17" s="305"/>
      <c r="BI17" s="305"/>
      <c r="BJ17" s="305"/>
      <c r="BK17" s="305"/>
      <c r="BL17" s="305"/>
      <c r="BM17" s="305"/>
      <c r="BN17" s="305"/>
      <c r="BO17" s="305"/>
      <c r="BP17" s="305"/>
      <c r="BQ17" s="305"/>
      <c r="BR17" s="305"/>
      <c r="BS17" s="305"/>
      <c r="BT17" s="305"/>
      <c r="BU17" s="305"/>
      <c r="BV17" s="305"/>
      <c r="BW17" s="305"/>
      <c r="BX17" s="305"/>
      <c r="BY17" s="305"/>
      <c r="BZ17" s="305"/>
      <c r="CA17" s="305"/>
      <c r="CB17" s="305"/>
      <c r="CC17" s="305"/>
      <c r="CD17" s="305"/>
      <c r="CE17" s="305"/>
      <c r="CF17" s="305"/>
      <c r="CG17" s="305"/>
      <c r="CH17" s="305"/>
      <c r="CI17" s="305"/>
      <c r="CJ17" s="305"/>
      <c r="CK17" s="305"/>
      <c r="CL17" s="305"/>
      <c r="CM17" s="305"/>
      <c r="CN17" s="305"/>
      <c r="CO17" s="305"/>
      <c r="CP17" s="305"/>
      <c r="CQ17" s="305"/>
      <c r="CR17" s="305"/>
      <c r="CS17" s="308"/>
      <c r="CT17" s="305"/>
      <c r="CU17" s="305"/>
      <c r="CV17" s="305"/>
      <c r="CW17" s="305"/>
      <c r="CX17" s="305"/>
      <c r="CY17" s="305"/>
      <c r="CZ17" s="305"/>
    </row>
    <row r="18" spans="1:104">
      <c r="A18" s="304" t="s">
        <v>26</v>
      </c>
      <c r="B18" s="113" t="s">
        <v>201</v>
      </c>
      <c r="C18" s="305"/>
      <c r="D18" s="305"/>
      <c r="E18" s="305"/>
      <c r="F18" s="305"/>
      <c r="G18" s="305"/>
      <c r="H18" s="308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  <c r="AK18" s="305"/>
      <c r="AL18" s="305"/>
      <c r="AM18" s="305"/>
      <c r="AN18" s="305"/>
      <c r="AO18" s="305"/>
      <c r="AP18" s="305"/>
      <c r="AQ18" s="305"/>
      <c r="AR18" s="305"/>
      <c r="AS18" s="305"/>
      <c r="AT18" s="305"/>
      <c r="AU18" s="305"/>
      <c r="AV18" s="305"/>
      <c r="AW18" s="305"/>
      <c r="AX18" s="305"/>
      <c r="AY18" s="305"/>
      <c r="AZ18" s="305"/>
      <c r="BA18" s="305"/>
      <c r="BB18" s="305"/>
      <c r="BC18" s="305"/>
      <c r="BD18" s="305"/>
      <c r="BE18" s="305"/>
      <c r="BF18" s="305"/>
      <c r="BG18" s="305"/>
      <c r="BH18" s="305"/>
      <c r="BI18" s="305"/>
      <c r="BJ18" s="305"/>
      <c r="BK18" s="305"/>
      <c r="BL18" s="305"/>
      <c r="BM18" s="305"/>
      <c r="BN18" s="305"/>
      <c r="BO18" s="305"/>
      <c r="BP18" s="305"/>
      <c r="BQ18" s="305"/>
      <c r="BR18" s="305"/>
      <c r="BS18" s="305"/>
      <c r="BT18" s="305"/>
      <c r="BU18" s="305"/>
      <c r="BV18" s="305"/>
      <c r="BW18" s="305"/>
      <c r="BX18" s="305"/>
      <c r="BY18" s="305"/>
      <c r="BZ18" s="305"/>
      <c r="CA18" s="305"/>
      <c r="CB18" s="305"/>
      <c r="CC18" s="305"/>
      <c r="CD18" s="305"/>
      <c r="CE18" s="305"/>
      <c r="CF18" s="305"/>
      <c r="CG18" s="305"/>
      <c r="CH18" s="305"/>
      <c r="CI18" s="305"/>
      <c r="CJ18" s="305"/>
      <c r="CK18" s="305"/>
      <c r="CL18" s="305"/>
      <c r="CM18" s="305"/>
      <c r="CN18" s="305"/>
      <c r="CO18" s="305"/>
      <c r="CP18" s="305"/>
      <c r="CQ18" s="305"/>
      <c r="CR18" s="305"/>
      <c r="CS18" s="308"/>
      <c r="CT18" s="305"/>
      <c r="CU18" s="305"/>
      <c r="CV18" s="305"/>
      <c r="CW18" s="305"/>
      <c r="CX18" s="305"/>
      <c r="CY18" s="305"/>
      <c r="CZ18" s="305"/>
    </row>
    <row r="19" spans="1:104">
      <c r="A19" s="304"/>
      <c r="B19" s="305"/>
      <c r="C19" s="305" t="s">
        <v>202</v>
      </c>
      <c r="D19" s="305"/>
      <c r="E19" s="305"/>
      <c r="F19" s="305"/>
      <c r="G19" s="305"/>
      <c r="H19" s="309">
        <f ca="1">SUM(IS!H21:H24)</f>
        <v>196.87147626515304</v>
      </c>
      <c r="I19" s="310">
        <f ca="1">SUM(IS!I21:I24)</f>
        <v>194.51382147977037</v>
      </c>
      <c r="J19" s="310">
        <f ca="1">SUM(IS!J21:J24)</f>
        <v>187.49748832429279</v>
      </c>
      <c r="K19" s="310">
        <f ca="1">SUM(IS!K21:K24)</f>
        <v>176.29659711998198</v>
      </c>
      <c r="L19" s="310">
        <f ca="1">SUM(IS!L21:L24)</f>
        <v>161.94351136921142</v>
      </c>
      <c r="M19" s="310">
        <f ca="1">SUM(IS!M21:M24)</f>
        <v>145.40268724913597</v>
      </c>
      <c r="N19" s="310">
        <f ca="1">SUM(IS!N21:N24)</f>
        <v>126.96302093070345</v>
      </c>
      <c r="O19" s="310">
        <f ca="1">SUM(IS!O21:O24)</f>
        <v>106.5006775357454</v>
      </c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305"/>
      <c r="AB19" s="305"/>
      <c r="AC19" s="305"/>
      <c r="AD19" s="305"/>
      <c r="AE19" s="305"/>
      <c r="AF19" s="305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305"/>
      <c r="AU19" s="305"/>
      <c r="AV19" s="305"/>
      <c r="AW19" s="305"/>
      <c r="AX19" s="305"/>
      <c r="AY19" s="305"/>
      <c r="AZ19" s="305"/>
      <c r="BA19" s="305"/>
      <c r="BB19" s="305"/>
      <c r="BC19" s="305"/>
      <c r="BD19" s="305"/>
      <c r="BE19" s="305"/>
      <c r="BF19" s="305"/>
      <c r="BG19" s="305"/>
      <c r="BH19" s="305"/>
      <c r="BI19" s="305"/>
      <c r="BJ19" s="305"/>
      <c r="BK19" s="305"/>
      <c r="BL19" s="305"/>
      <c r="BM19" s="305"/>
      <c r="BN19" s="305"/>
      <c r="BO19" s="305"/>
      <c r="BP19" s="305"/>
      <c r="BQ19" s="305"/>
      <c r="BR19" s="305"/>
      <c r="BS19" s="305"/>
      <c r="BT19" s="305"/>
      <c r="BU19" s="305"/>
      <c r="BV19" s="305"/>
      <c r="BW19" s="305"/>
      <c r="BX19" s="305"/>
      <c r="BY19" s="305"/>
      <c r="BZ19" s="305"/>
      <c r="CA19" s="305"/>
      <c r="CB19" s="305"/>
      <c r="CC19" s="305"/>
      <c r="CD19" s="305"/>
      <c r="CE19" s="305"/>
      <c r="CF19" s="305"/>
      <c r="CG19" s="305"/>
      <c r="CH19" s="305"/>
      <c r="CI19" s="305"/>
      <c r="CJ19" s="305"/>
      <c r="CK19" s="305"/>
      <c r="CL19" s="305"/>
      <c r="CM19" s="305"/>
      <c r="CN19" s="305"/>
      <c r="CO19" s="305"/>
      <c r="CP19" s="305"/>
      <c r="CQ19" s="305"/>
      <c r="CR19" s="305"/>
      <c r="CS19" s="309">
        <f>SUM(IS!CS21:CS24)</f>
        <v>0</v>
      </c>
      <c r="CT19" s="310">
        <f>SUM(IS!CT21:CT24)</f>
        <v>0</v>
      </c>
      <c r="CU19" s="310">
        <f>SUM(IS!CU21:CU24)</f>
        <v>0</v>
      </c>
      <c r="CV19" s="310">
        <f>SUM(IS!CV21:CV24)</f>
        <v>0</v>
      </c>
      <c r="CW19" s="310">
        <f>SUM(IS!CW21:CW24)</f>
        <v>0</v>
      </c>
      <c r="CX19" s="310">
        <f>SUM(IS!CX21:CX24)</f>
        <v>0</v>
      </c>
      <c r="CY19" s="310">
        <f>SUM(IS!CY21:CY24)</f>
        <v>0</v>
      </c>
      <c r="CZ19" s="310">
        <f>SUM(IS!CZ21:CZ24)</f>
        <v>0</v>
      </c>
    </row>
    <row r="20" spans="1:104">
      <c r="A20" s="304"/>
      <c r="B20" s="305"/>
      <c r="C20" s="305" t="s">
        <v>157</v>
      </c>
      <c r="D20" s="305"/>
      <c r="E20" s="305"/>
      <c r="F20" s="305"/>
      <c r="G20" s="305"/>
      <c r="H20" s="311">
        <f ca="1">IS!H25</f>
        <v>196.68147626515301</v>
      </c>
      <c r="I20" s="312">
        <f ca="1">IS!I25</f>
        <v>194.32382147977037</v>
      </c>
      <c r="J20" s="312">
        <f ca="1">IS!J25</f>
        <v>187.30748832429279</v>
      </c>
      <c r="K20" s="312">
        <f ca="1">IS!K25</f>
        <v>176.10659711998196</v>
      </c>
      <c r="L20" s="312">
        <f ca="1">IS!L25</f>
        <v>161.75351136921142</v>
      </c>
      <c r="M20" s="312">
        <f ca="1">IS!M25</f>
        <v>145.21268724913597</v>
      </c>
      <c r="N20" s="312">
        <f ca="1">IS!N25</f>
        <v>126.77302093070345</v>
      </c>
      <c r="O20" s="312">
        <f ca="1">IS!O25</f>
        <v>106.3106775357454</v>
      </c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  <c r="AK20" s="305"/>
      <c r="AL20" s="305"/>
      <c r="AM20" s="305"/>
      <c r="AN20" s="305"/>
      <c r="AO20" s="305"/>
      <c r="AP20" s="305"/>
      <c r="AQ20" s="305"/>
      <c r="AR20" s="305"/>
      <c r="AS20" s="305"/>
      <c r="AT20" s="305"/>
      <c r="AU20" s="305"/>
      <c r="AV20" s="305"/>
      <c r="AW20" s="305"/>
      <c r="AX20" s="305"/>
      <c r="AY20" s="305"/>
      <c r="AZ20" s="305"/>
      <c r="BA20" s="305"/>
      <c r="BB20" s="305"/>
      <c r="BC20" s="305"/>
      <c r="BD20" s="305"/>
      <c r="BE20" s="305"/>
      <c r="BF20" s="305"/>
      <c r="BG20" s="305"/>
      <c r="BH20" s="305"/>
      <c r="BI20" s="305"/>
      <c r="BJ20" s="305"/>
      <c r="BK20" s="305"/>
      <c r="BL20" s="305"/>
      <c r="BM20" s="305"/>
      <c r="BN20" s="305"/>
      <c r="BO20" s="305"/>
      <c r="BP20" s="305"/>
      <c r="BQ20" s="305"/>
      <c r="BR20" s="305"/>
      <c r="BS20" s="305"/>
      <c r="BT20" s="305"/>
      <c r="BU20" s="305"/>
      <c r="BV20" s="305"/>
      <c r="BW20" s="305"/>
      <c r="BX20" s="305"/>
      <c r="BY20" s="305"/>
      <c r="BZ20" s="305"/>
      <c r="CA20" s="305"/>
      <c r="CB20" s="305"/>
      <c r="CC20" s="305"/>
      <c r="CD20" s="305"/>
      <c r="CE20" s="305"/>
      <c r="CF20" s="305"/>
      <c r="CG20" s="305"/>
      <c r="CH20" s="305"/>
      <c r="CI20" s="305"/>
      <c r="CJ20" s="305"/>
      <c r="CK20" s="305"/>
      <c r="CL20" s="305"/>
      <c r="CM20" s="305"/>
      <c r="CN20" s="305"/>
      <c r="CO20" s="305"/>
      <c r="CP20" s="305"/>
      <c r="CQ20" s="305"/>
      <c r="CR20" s="305"/>
      <c r="CS20" s="311">
        <f>IS!CS25</f>
        <v>0</v>
      </c>
      <c r="CT20" s="312">
        <f>IS!CT25</f>
        <v>0</v>
      </c>
      <c r="CU20" s="312">
        <f>IS!CU25</f>
        <v>0</v>
      </c>
      <c r="CV20" s="312">
        <f>IS!CV25</f>
        <v>0</v>
      </c>
      <c r="CW20" s="312">
        <f>IS!CW25</f>
        <v>0</v>
      </c>
      <c r="CX20" s="312">
        <f>IS!CX25</f>
        <v>0</v>
      </c>
      <c r="CY20" s="312">
        <f>IS!CY25</f>
        <v>0</v>
      </c>
      <c r="CZ20" s="312">
        <f>IS!CZ25</f>
        <v>0</v>
      </c>
    </row>
    <row r="21" spans="1:104">
      <c r="A21" s="304"/>
      <c r="B21" s="305"/>
      <c r="C21" s="305" t="s">
        <v>203</v>
      </c>
      <c r="D21" s="305"/>
      <c r="E21" s="305"/>
      <c r="F21" s="305"/>
      <c r="G21" s="305"/>
      <c r="H21" s="311">
        <f ca="1">Ratios!H19-IS!H24</f>
        <v>188.37283778009751</v>
      </c>
      <c r="I21" s="312">
        <f ca="1">Ratios!I19-IS!I24</f>
        <v>186.01518299471485</v>
      </c>
      <c r="J21" s="312">
        <f ca="1">Ratios!J19-IS!J24</f>
        <v>178.99884983923727</v>
      </c>
      <c r="K21" s="312">
        <f ca="1">Ratios!K19-IS!K24</f>
        <v>167.79795863492646</v>
      </c>
      <c r="L21" s="312">
        <f ca="1">Ratios!L19-IS!L24</f>
        <v>153.4448728841559</v>
      </c>
      <c r="M21" s="312">
        <f ca="1">Ratios!M19-IS!M24</f>
        <v>136.90404876408044</v>
      </c>
      <c r="N21" s="312">
        <f ca="1">Ratios!N19-IS!N24</f>
        <v>118.46438244564791</v>
      </c>
      <c r="O21" s="312">
        <f ca="1">Ratios!O19-IS!O24</f>
        <v>98.002039050689859</v>
      </c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  <c r="AK21" s="305"/>
      <c r="AL21" s="305"/>
      <c r="AM21" s="305"/>
      <c r="AN21" s="305"/>
      <c r="AO21" s="305"/>
      <c r="AP21" s="305"/>
      <c r="AQ21" s="305"/>
      <c r="AR21" s="305"/>
      <c r="AS21" s="305"/>
      <c r="AT21" s="305"/>
      <c r="AU21" s="305"/>
      <c r="AV21" s="305"/>
      <c r="AW21" s="305"/>
      <c r="AX21" s="305"/>
      <c r="AY21" s="305"/>
      <c r="AZ21" s="305"/>
      <c r="BA21" s="305"/>
      <c r="BB21" s="305"/>
      <c r="BC21" s="305"/>
      <c r="BD21" s="305"/>
      <c r="BE21" s="305"/>
      <c r="BF21" s="305"/>
      <c r="BG21" s="305"/>
      <c r="BH21" s="305"/>
      <c r="BI21" s="305"/>
      <c r="BJ21" s="305"/>
      <c r="BK21" s="305"/>
      <c r="BL21" s="305"/>
      <c r="BM21" s="305"/>
      <c r="BN21" s="305"/>
      <c r="BO21" s="305"/>
      <c r="BP21" s="305"/>
      <c r="BQ21" s="305"/>
      <c r="BR21" s="305"/>
      <c r="BS21" s="305"/>
      <c r="BT21" s="305"/>
      <c r="BU21" s="305"/>
      <c r="BV21" s="305"/>
      <c r="BW21" s="305"/>
      <c r="BX21" s="305"/>
      <c r="BY21" s="305"/>
      <c r="BZ21" s="305"/>
      <c r="CA21" s="305"/>
      <c r="CB21" s="305"/>
      <c r="CC21" s="305"/>
      <c r="CD21" s="305"/>
      <c r="CE21" s="305"/>
      <c r="CF21" s="305"/>
      <c r="CG21" s="305"/>
      <c r="CH21" s="305"/>
      <c r="CI21" s="305"/>
      <c r="CJ21" s="305"/>
      <c r="CK21" s="305"/>
      <c r="CL21" s="305"/>
      <c r="CM21" s="305"/>
      <c r="CN21" s="305"/>
      <c r="CO21" s="305"/>
      <c r="CP21" s="305"/>
      <c r="CQ21" s="305"/>
      <c r="CR21" s="305"/>
      <c r="CS21" s="311">
        <f>SUM(IS!CS21:CS23)</f>
        <v>0</v>
      </c>
      <c r="CT21" s="312">
        <f>SUM(IS!CT21:CT23)</f>
        <v>0</v>
      </c>
      <c r="CU21" s="312">
        <f>SUM(IS!CU21:CU23)</f>
        <v>0</v>
      </c>
      <c r="CV21" s="312">
        <f>SUM(IS!CV21:CV23)</f>
        <v>0</v>
      </c>
      <c r="CW21" s="312">
        <f>SUM(IS!CW21:CW23)</f>
        <v>0</v>
      </c>
      <c r="CX21" s="312">
        <f>SUM(IS!CX21:CX23)</f>
        <v>0</v>
      </c>
      <c r="CY21" s="312">
        <f>SUM(IS!CY21:CY23)</f>
        <v>0</v>
      </c>
      <c r="CZ21" s="312">
        <f>SUM(IS!CZ21:CZ23)</f>
        <v>0</v>
      </c>
    </row>
    <row r="22" spans="1:104" ht="7" customHeight="1">
      <c r="A22" s="304"/>
      <c r="B22" s="305"/>
      <c r="C22" s="305"/>
      <c r="D22" s="305"/>
      <c r="E22" s="305"/>
      <c r="F22" s="305"/>
      <c r="G22" s="305"/>
      <c r="H22" s="308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05"/>
      <c r="AL22" s="305"/>
      <c r="AM22" s="305"/>
      <c r="AN22" s="305"/>
      <c r="AO22" s="305"/>
      <c r="AP22" s="305"/>
      <c r="AQ22" s="305"/>
      <c r="AR22" s="305"/>
      <c r="AS22" s="305"/>
      <c r="AT22" s="305"/>
      <c r="AU22" s="305"/>
      <c r="AV22" s="305"/>
      <c r="AW22" s="305"/>
      <c r="AX22" s="305"/>
      <c r="AY22" s="305"/>
      <c r="AZ22" s="305"/>
      <c r="BA22" s="305"/>
      <c r="BB22" s="305"/>
      <c r="BC22" s="305"/>
      <c r="BD22" s="305"/>
      <c r="BE22" s="305"/>
      <c r="BF22" s="305"/>
      <c r="BG22" s="305"/>
      <c r="BH22" s="305"/>
      <c r="BI22" s="305"/>
      <c r="BJ22" s="305"/>
      <c r="BK22" s="305"/>
      <c r="BL22" s="305"/>
      <c r="BM22" s="305"/>
      <c r="BN22" s="305"/>
      <c r="BO22" s="305"/>
      <c r="BP22" s="305"/>
      <c r="BQ22" s="305"/>
      <c r="BR22" s="305"/>
      <c r="BS22" s="305"/>
      <c r="BT22" s="305"/>
      <c r="BU22" s="305"/>
      <c r="BV22" s="305"/>
      <c r="BW22" s="305"/>
      <c r="BX22" s="305"/>
      <c r="BY22" s="305"/>
      <c r="BZ22" s="305"/>
      <c r="CA22" s="305"/>
      <c r="CB22" s="305"/>
      <c r="CC22" s="305"/>
      <c r="CD22" s="305"/>
      <c r="CE22" s="305"/>
      <c r="CF22" s="305"/>
      <c r="CG22" s="305"/>
      <c r="CH22" s="305"/>
      <c r="CI22" s="305"/>
      <c r="CJ22" s="305"/>
      <c r="CK22" s="305"/>
      <c r="CL22" s="305"/>
      <c r="CM22" s="305"/>
      <c r="CN22" s="305"/>
      <c r="CO22" s="305"/>
      <c r="CP22" s="305"/>
      <c r="CQ22" s="305"/>
      <c r="CR22" s="305"/>
      <c r="CS22" s="308"/>
      <c r="CT22" s="305"/>
      <c r="CU22" s="305"/>
      <c r="CV22" s="305"/>
      <c r="CW22" s="305"/>
      <c r="CX22" s="305"/>
      <c r="CY22" s="305"/>
      <c r="CZ22" s="305"/>
    </row>
    <row r="23" spans="1:104">
      <c r="A23" s="304"/>
      <c r="B23" s="305"/>
      <c r="C23" s="305" t="s">
        <v>51</v>
      </c>
      <c r="D23" s="305"/>
      <c r="E23" s="305"/>
      <c r="F23" s="305"/>
      <c r="G23" s="305"/>
      <c r="H23" s="309">
        <f>IS!H14</f>
        <v>277.27699999999999</v>
      </c>
      <c r="I23" s="310">
        <f>IS!I14</f>
        <v>306.73205325000015</v>
      </c>
      <c r="J23" s="310">
        <f>IS!J14</f>
        <v>335.0992056772501</v>
      </c>
      <c r="K23" s="310">
        <f>IS!K14</f>
        <v>363.41425497686413</v>
      </c>
      <c r="L23" s="310">
        <f>IS!L14</f>
        <v>393.29983589695667</v>
      </c>
      <c r="M23" s="310">
        <f>IS!M14</f>
        <v>424.78577438746095</v>
      </c>
      <c r="N23" s="310">
        <f>IS!N14</f>
        <v>457.89801684590685</v>
      </c>
      <c r="O23" s="310">
        <f>IS!O14</f>
        <v>492.6582750330216</v>
      </c>
      <c r="P23" s="305"/>
      <c r="Q23" s="305"/>
      <c r="R23" s="305"/>
      <c r="S23" s="305"/>
      <c r="T23" s="305"/>
      <c r="U23" s="305"/>
      <c r="V23" s="305"/>
      <c r="W23" s="305"/>
      <c r="X23" s="305"/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5"/>
      <c r="AM23" s="305"/>
      <c r="AN23" s="305"/>
      <c r="AO23" s="305"/>
      <c r="AP23" s="305"/>
      <c r="AQ23" s="305"/>
      <c r="AR23" s="305"/>
      <c r="AS23" s="305"/>
      <c r="AT23" s="305"/>
      <c r="AU23" s="305"/>
      <c r="AV23" s="305"/>
      <c r="AW23" s="305"/>
      <c r="AX23" s="305"/>
      <c r="AY23" s="305"/>
      <c r="AZ23" s="305"/>
      <c r="BA23" s="305"/>
      <c r="BB23" s="305"/>
      <c r="BC23" s="305"/>
      <c r="BD23" s="305"/>
      <c r="BE23" s="305"/>
      <c r="BF23" s="305"/>
      <c r="BG23" s="305"/>
      <c r="BH23" s="305"/>
      <c r="BI23" s="305"/>
      <c r="BJ23" s="305"/>
      <c r="BK23" s="305"/>
      <c r="BL23" s="305"/>
      <c r="BM23" s="305"/>
      <c r="BN23" s="305"/>
      <c r="BO23" s="305"/>
      <c r="BP23" s="305"/>
      <c r="BQ23" s="305"/>
      <c r="BR23" s="305"/>
      <c r="BS23" s="305"/>
      <c r="BT23" s="305"/>
      <c r="BU23" s="305"/>
      <c r="BV23" s="305"/>
      <c r="BW23" s="305"/>
      <c r="BX23" s="305"/>
      <c r="BY23" s="305"/>
      <c r="BZ23" s="305"/>
      <c r="CA23" s="305"/>
      <c r="CB23" s="305"/>
      <c r="CC23" s="305"/>
      <c r="CD23" s="305"/>
      <c r="CE23" s="305"/>
      <c r="CF23" s="305"/>
      <c r="CG23" s="305"/>
      <c r="CH23" s="305"/>
      <c r="CI23" s="305"/>
      <c r="CJ23" s="305"/>
      <c r="CK23" s="305"/>
      <c r="CL23" s="305"/>
      <c r="CM23" s="305"/>
      <c r="CN23" s="305"/>
      <c r="CO23" s="305"/>
      <c r="CP23" s="305"/>
      <c r="CQ23" s="305"/>
      <c r="CR23" s="305"/>
      <c r="CS23" s="309">
        <f>IS!CS14</f>
        <v>0</v>
      </c>
      <c r="CT23" s="310">
        <f>IS!CT14</f>
        <v>0</v>
      </c>
      <c r="CU23" s="310">
        <f>IS!CU14</f>
        <v>0</v>
      </c>
      <c r="CV23" s="310">
        <f>IS!CV14</f>
        <v>0</v>
      </c>
      <c r="CW23" s="310">
        <f>IS!CW14</f>
        <v>0</v>
      </c>
      <c r="CX23" s="310">
        <f>IS!CX14</f>
        <v>0</v>
      </c>
      <c r="CY23" s="310">
        <f>IS!CY14</f>
        <v>0</v>
      </c>
      <c r="CZ23" s="310">
        <f>IS!CZ14</f>
        <v>0</v>
      </c>
    </row>
    <row r="24" spans="1:104">
      <c r="A24" s="304"/>
      <c r="B24" s="305"/>
      <c r="C24" s="305"/>
      <c r="D24" s="114" t="s">
        <v>204</v>
      </c>
      <c r="E24" s="305"/>
      <c r="F24" s="305"/>
      <c r="G24" s="305"/>
      <c r="H24" s="314">
        <f ca="1">H23/H19</f>
        <v>1.4084163194192445</v>
      </c>
      <c r="I24" s="315">
        <f t="shared" ref="I24:O24" ca="1" si="7">I23/I19</f>
        <v>1.576916493216399</v>
      </c>
      <c r="J24" s="315">
        <f t="shared" ca="1" si="7"/>
        <v>1.7872197044990152</v>
      </c>
      <c r="K24" s="315">
        <f t="shared" ca="1" si="7"/>
        <v>2.0613798616290686</v>
      </c>
      <c r="L24" s="315">
        <f t="shared" ca="1" si="7"/>
        <v>2.4286236143187057</v>
      </c>
      <c r="M24" s="315">
        <f t="shared" ca="1" si="7"/>
        <v>2.9214437671266986</v>
      </c>
      <c r="N24" s="315">
        <f t="shared" ca="1" si="7"/>
        <v>3.6065463273422589</v>
      </c>
      <c r="O24" s="315">
        <f t="shared" ca="1" si="7"/>
        <v>4.625869867050076</v>
      </c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305"/>
      <c r="AU24" s="305"/>
      <c r="AV24" s="305"/>
      <c r="AW24" s="305"/>
      <c r="AX24" s="305"/>
      <c r="AY24" s="305"/>
      <c r="AZ24" s="305"/>
      <c r="BA24" s="305"/>
      <c r="BB24" s="305"/>
      <c r="BC24" s="305"/>
      <c r="BD24" s="305"/>
      <c r="BE24" s="305"/>
      <c r="BF24" s="305"/>
      <c r="BG24" s="305"/>
      <c r="BH24" s="305"/>
      <c r="BI24" s="305"/>
      <c r="BJ24" s="305"/>
      <c r="BK24" s="305"/>
      <c r="BL24" s="305"/>
      <c r="BM24" s="305"/>
      <c r="BN24" s="305"/>
      <c r="BO24" s="305"/>
      <c r="BP24" s="305"/>
      <c r="BQ24" s="305"/>
      <c r="BR24" s="305"/>
      <c r="BS24" s="305"/>
      <c r="BT24" s="305"/>
      <c r="BU24" s="305"/>
      <c r="BV24" s="305"/>
      <c r="BW24" s="305"/>
      <c r="BX24" s="305"/>
      <c r="BY24" s="305"/>
      <c r="BZ24" s="305"/>
      <c r="CA24" s="305"/>
      <c r="CB24" s="305"/>
      <c r="CC24" s="305"/>
      <c r="CD24" s="305"/>
      <c r="CE24" s="305"/>
      <c r="CF24" s="305"/>
      <c r="CG24" s="305"/>
      <c r="CH24" s="305"/>
      <c r="CI24" s="305"/>
      <c r="CJ24" s="305"/>
      <c r="CK24" s="305"/>
      <c r="CL24" s="305"/>
      <c r="CM24" s="305"/>
      <c r="CN24" s="305"/>
      <c r="CO24" s="305"/>
      <c r="CP24" s="305"/>
      <c r="CQ24" s="305"/>
      <c r="CR24" s="305"/>
      <c r="CS24" s="314" t="e">
        <f>CS$23/CS19</f>
        <v>#DIV/0!</v>
      </c>
      <c r="CT24" s="315" t="e">
        <f t="shared" ref="CT24:CZ24" si="8">CT$23/CT19</f>
        <v>#DIV/0!</v>
      </c>
      <c r="CU24" s="315" t="e">
        <f t="shared" si="8"/>
        <v>#DIV/0!</v>
      </c>
      <c r="CV24" s="315" t="e">
        <f t="shared" si="8"/>
        <v>#DIV/0!</v>
      </c>
      <c r="CW24" s="315" t="e">
        <f t="shared" si="8"/>
        <v>#DIV/0!</v>
      </c>
      <c r="CX24" s="315" t="e">
        <f t="shared" si="8"/>
        <v>#DIV/0!</v>
      </c>
      <c r="CY24" s="315" t="e">
        <f t="shared" si="8"/>
        <v>#DIV/0!</v>
      </c>
      <c r="CZ24" s="315" t="e">
        <f t="shared" si="8"/>
        <v>#DIV/0!</v>
      </c>
    </row>
    <row r="25" spans="1:104">
      <c r="A25" s="304"/>
      <c r="B25" s="305"/>
      <c r="C25" s="305"/>
      <c r="D25" s="114" t="s">
        <v>205</v>
      </c>
      <c r="E25" s="305"/>
      <c r="F25" s="305"/>
      <c r="G25" s="305"/>
      <c r="H25" s="314">
        <f ca="1">H23/H20</f>
        <v>1.4097768903574499</v>
      </c>
      <c r="I25" s="315">
        <f t="shared" ref="I25:O25" ca="1" si="9">I23/I20</f>
        <v>1.5784583223726474</v>
      </c>
      <c r="J25" s="315">
        <f t="shared" ca="1" si="9"/>
        <v>1.7890326151674179</v>
      </c>
      <c r="K25" s="315">
        <f t="shared" ca="1" si="9"/>
        <v>2.0636038678850226</v>
      </c>
      <c r="L25" s="315">
        <f t="shared" ca="1" si="9"/>
        <v>2.431476340561336</v>
      </c>
      <c r="M25" s="315">
        <f t="shared" ca="1" si="9"/>
        <v>2.9252662589920391</v>
      </c>
      <c r="N25" s="315">
        <f t="shared" ca="1" si="9"/>
        <v>3.6119516083489298</v>
      </c>
      <c r="O25" s="315">
        <f t="shared" ca="1" si="9"/>
        <v>4.6341372894305231</v>
      </c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  <c r="AK25" s="305"/>
      <c r="AL25" s="305"/>
      <c r="AM25" s="305"/>
      <c r="AN25" s="305"/>
      <c r="AO25" s="305"/>
      <c r="AP25" s="305"/>
      <c r="AQ25" s="305"/>
      <c r="AR25" s="305"/>
      <c r="AS25" s="305"/>
      <c r="AT25" s="305"/>
      <c r="AU25" s="305"/>
      <c r="AV25" s="305"/>
      <c r="AW25" s="305"/>
      <c r="AX25" s="305"/>
      <c r="AY25" s="305"/>
      <c r="AZ25" s="305"/>
      <c r="BA25" s="305"/>
      <c r="BB25" s="305"/>
      <c r="BC25" s="305"/>
      <c r="BD25" s="305"/>
      <c r="BE25" s="305"/>
      <c r="BF25" s="305"/>
      <c r="BG25" s="305"/>
      <c r="BH25" s="305"/>
      <c r="BI25" s="305"/>
      <c r="BJ25" s="305"/>
      <c r="BK25" s="305"/>
      <c r="BL25" s="305"/>
      <c r="BM25" s="305"/>
      <c r="BN25" s="305"/>
      <c r="BO25" s="305"/>
      <c r="BP25" s="305"/>
      <c r="BQ25" s="305"/>
      <c r="BR25" s="305"/>
      <c r="BS25" s="305"/>
      <c r="BT25" s="305"/>
      <c r="BU25" s="305"/>
      <c r="BV25" s="305"/>
      <c r="BW25" s="305"/>
      <c r="BX25" s="305"/>
      <c r="BY25" s="305"/>
      <c r="BZ25" s="305"/>
      <c r="CA25" s="305"/>
      <c r="CB25" s="305"/>
      <c r="CC25" s="305"/>
      <c r="CD25" s="305"/>
      <c r="CE25" s="305"/>
      <c r="CF25" s="305"/>
      <c r="CG25" s="305"/>
      <c r="CH25" s="305"/>
      <c r="CI25" s="305"/>
      <c r="CJ25" s="305"/>
      <c r="CK25" s="305"/>
      <c r="CL25" s="305"/>
      <c r="CM25" s="305"/>
      <c r="CN25" s="305"/>
      <c r="CO25" s="305"/>
      <c r="CP25" s="305"/>
      <c r="CQ25" s="305"/>
      <c r="CR25" s="305"/>
      <c r="CS25" s="314" t="e">
        <f t="shared" ref="CS25:CZ25" si="10">CS$23/CS20</f>
        <v>#DIV/0!</v>
      </c>
      <c r="CT25" s="315" t="e">
        <f t="shared" si="10"/>
        <v>#DIV/0!</v>
      </c>
      <c r="CU25" s="315" t="e">
        <f t="shared" si="10"/>
        <v>#DIV/0!</v>
      </c>
      <c r="CV25" s="315" t="e">
        <f t="shared" si="10"/>
        <v>#DIV/0!</v>
      </c>
      <c r="CW25" s="315" t="e">
        <f t="shared" si="10"/>
        <v>#DIV/0!</v>
      </c>
      <c r="CX25" s="315" t="e">
        <f t="shared" si="10"/>
        <v>#DIV/0!</v>
      </c>
      <c r="CY25" s="315" t="e">
        <f t="shared" si="10"/>
        <v>#DIV/0!</v>
      </c>
      <c r="CZ25" s="315" t="e">
        <f t="shared" si="10"/>
        <v>#DIV/0!</v>
      </c>
    </row>
    <row r="26" spans="1:104">
      <c r="A26" s="304"/>
      <c r="B26" s="305"/>
      <c r="C26" s="305"/>
      <c r="D26" s="114" t="s">
        <v>206</v>
      </c>
      <c r="E26" s="305"/>
      <c r="F26" s="305"/>
      <c r="G26" s="305"/>
      <c r="H26" s="314">
        <f ca="1">H23/H21</f>
        <v>1.4719585013827063</v>
      </c>
      <c r="I26" s="315">
        <f t="shared" ref="I26:O26" ca="1" si="11">I23/I21</f>
        <v>1.6489624573211057</v>
      </c>
      <c r="J26" s="315">
        <f t="shared" ca="1" si="11"/>
        <v>1.8720746305253353</v>
      </c>
      <c r="K26" s="315">
        <f t="shared" ca="1" si="11"/>
        <v>2.1657847207041105</v>
      </c>
      <c r="L26" s="315">
        <f t="shared" ca="1" si="11"/>
        <v>2.5631344241386329</v>
      </c>
      <c r="M26" s="315">
        <f t="shared" ca="1" si="11"/>
        <v>3.1027992102663959</v>
      </c>
      <c r="N26" s="315">
        <f t="shared" ca="1" si="11"/>
        <v>3.8652800731561059</v>
      </c>
      <c r="O26" s="315">
        <f t="shared" ca="1" si="11"/>
        <v>5.027020660031396</v>
      </c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5"/>
      <c r="AG26" s="305"/>
      <c r="AH26" s="305"/>
      <c r="AI26" s="305"/>
      <c r="AJ26" s="305"/>
      <c r="AK26" s="305"/>
      <c r="AL26" s="305"/>
      <c r="AM26" s="305"/>
      <c r="AN26" s="305"/>
      <c r="AO26" s="305"/>
      <c r="AP26" s="305"/>
      <c r="AQ26" s="305"/>
      <c r="AR26" s="305"/>
      <c r="AS26" s="305"/>
      <c r="AT26" s="305"/>
      <c r="AU26" s="305"/>
      <c r="AV26" s="305"/>
      <c r="AW26" s="305"/>
      <c r="AX26" s="305"/>
      <c r="AY26" s="305"/>
      <c r="AZ26" s="305"/>
      <c r="BA26" s="305"/>
      <c r="BB26" s="305"/>
      <c r="BC26" s="305"/>
      <c r="BD26" s="305"/>
      <c r="BE26" s="305"/>
      <c r="BF26" s="305"/>
      <c r="BG26" s="305"/>
      <c r="BH26" s="305"/>
      <c r="BI26" s="305"/>
      <c r="BJ26" s="305"/>
      <c r="BK26" s="305"/>
      <c r="BL26" s="305"/>
      <c r="BM26" s="305"/>
      <c r="BN26" s="305"/>
      <c r="BO26" s="305"/>
      <c r="BP26" s="305"/>
      <c r="BQ26" s="305"/>
      <c r="BR26" s="305"/>
      <c r="BS26" s="305"/>
      <c r="BT26" s="305"/>
      <c r="BU26" s="305"/>
      <c r="BV26" s="305"/>
      <c r="BW26" s="305"/>
      <c r="BX26" s="305"/>
      <c r="BY26" s="305"/>
      <c r="BZ26" s="305"/>
      <c r="CA26" s="305"/>
      <c r="CB26" s="305"/>
      <c r="CC26" s="305"/>
      <c r="CD26" s="305"/>
      <c r="CE26" s="305"/>
      <c r="CF26" s="305"/>
      <c r="CG26" s="305"/>
      <c r="CH26" s="305"/>
      <c r="CI26" s="305"/>
      <c r="CJ26" s="305"/>
      <c r="CK26" s="305"/>
      <c r="CL26" s="305"/>
      <c r="CM26" s="305"/>
      <c r="CN26" s="305"/>
      <c r="CO26" s="305"/>
      <c r="CP26" s="305"/>
      <c r="CQ26" s="305"/>
      <c r="CR26" s="305"/>
      <c r="CS26" s="314" t="e">
        <f t="shared" ref="CS26:CZ26" si="12">CS$23/CS21</f>
        <v>#DIV/0!</v>
      </c>
      <c r="CT26" s="315" t="e">
        <f t="shared" si="12"/>
        <v>#DIV/0!</v>
      </c>
      <c r="CU26" s="315" t="e">
        <f t="shared" si="12"/>
        <v>#DIV/0!</v>
      </c>
      <c r="CV26" s="315" t="e">
        <f t="shared" si="12"/>
        <v>#DIV/0!</v>
      </c>
      <c r="CW26" s="315" t="e">
        <f t="shared" si="12"/>
        <v>#DIV/0!</v>
      </c>
      <c r="CX26" s="315" t="e">
        <f t="shared" si="12"/>
        <v>#DIV/0!</v>
      </c>
      <c r="CY26" s="315" t="e">
        <f t="shared" si="12"/>
        <v>#DIV/0!</v>
      </c>
      <c r="CZ26" s="315" t="e">
        <f t="shared" si="12"/>
        <v>#DIV/0!</v>
      </c>
    </row>
    <row r="27" spans="1:104" ht="7" customHeight="1">
      <c r="A27" s="304"/>
      <c r="B27" s="305"/>
      <c r="C27" s="305"/>
      <c r="D27" s="305"/>
      <c r="E27" s="305"/>
      <c r="F27" s="305"/>
      <c r="G27" s="305"/>
      <c r="H27" s="308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  <c r="AK27" s="305"/>
      <c r="AL27" s="305"/>
      <c r="AM27" s="305"/>
      <c r="AN27" s="305"/>
      <c r="AO27" s="305"/>
      <c r="AP27" s="305"/>
      <c r="AQ27" s="305"/>
      <c r="AR27" s="305"/>
      <c r="AS27" s="305"/>
      <c r="AT27" s="305"/>
      <c r="AU27" s="305"/>
      <c r="AV27" s="305"/>
      <c r="AW27" s="305"/>
      <c r="AX27" s="305"/>
      <c r="AY27" s="305"/>
      <c r="AZ27" s="305"/>
      <c r="BA27" s="305"/>
      <c r="BB27" s="305"/>
      <c r="BC27" s="305"/>
      <c r="BD27" s="305"/>
      <c r="BE27" s="305"/>
      <c r="BF27" s="305"/>
      <c r="BG27" s="305"/>
      <c r="BH27" s="305"/>
      <c r="BI27" s="305"/>
      <c r="BJ27" s="305"/>
      <c r="BK27" s="305"/>
      <c r="BL27" s="305"/>
      <c r="BM27" s="305"/>
      <c r="BN27" s="305"/>
      <c r="BO27" s="305"/>
      <c r="BP27" s="305"/>
      <c r="BQ27" s="305"/>
      <c r="BR27" s="305"/>
      <c r="BS27" s="305"/>
      <c r="BT27" s="305"/>
      <c r="BU27" s="305"/>
      <c r="BV27" s="305"/>
      <c r="BW27" s="305"/>
      <c r="BX27" s="305"/>
      <c r="BY27" s="305"/>
      <c r="BZ27" s="305"/>
      <c r="CA27" s="305"/>
      <c r="CB27" s="305"/>
      <c r="CC27" s="305"/>
      <c r="CD27" s="305"/>
      <c r="CE27" s="305"/>
      <c r="CF27" s="305"/>
      <c r="CG27" s="305"/>
      <c r="CH27" s="305"/>
      <c r="CI27" s="305"/>
      <c r="CJ27" s="305"/>
      <c r="CK27" s="305"/>
      <c r="CL27" s="305"/>
      <c r="CM27" s="305"/>
      <c r="CN27" s="305"/>
      <c r="CO27" s="305"/>
      <c r="CP27" s="305"/>
      <c r="CQ27" s="305"/>
      <c r="CR27" s="305"/>
      <c r="CS27" s="308"/>
      <c r="CT27" s="305"/>
      <c r="CU27" s="305"/>
      <c r="CV27" s="305"/>
      <c r="CW27" s="305"/>
      <c r="CX27" s="305"/>
      <c r="CY27" s="305"/>
      <c r="CZ27" s="305"/>
    </row>
    <row r="28" spans="1:104">
      <c r="A28" s="304"/>
      <c r="B28" s="305"/>
      <c r="C28" s="305" t="s">
        <v>207</v>
      </c>
      <c r="D28" s="305"/>
      <c r="E28" s="305"/>
      <c r="F28" s="305"/>
      <c r="G28" s="305"/>
      <c r="H28" s="309">
        <f>Ratios!H23-'BS and Cash Flow'!H88</f>
        <v>249.7</v>
      </c>
      <c r="I28" s="310">
        <f>Ratios!I23-'BS and Cash Flow'!I88</f>
        <v>266.73205325000015</v>
      </c>
      <c r="J28" s="310">
        <f>Ratios!J23-'BS and Cash Flow'!J88</f>
        <v>298.14068635900009</v>
      </c>
      <c r="K28" s="310">
        <f>Ratios!K23-'BS and Cash Flow'!K88</f>
        <v>329.92327848581215</v>
      </c>
      <c r="L28" s="310">
        <f>Ratios!L23-'BS and Cash Flow'!L88</f>
        <v>363.72268819775951</v>
      </c>
      <c r="M28" s="310">
        <f>Ratios!M23-'BS and Cash Flow'!M88</f>
        <v>399.58842619663397</v>
      </c>
      <c r="N28" s="310">
        <f>Ratios!N23-'BS and Cash Flow'!N88</f>
        <v>437.56545196263988</v>
      </c>
      <c r="O28" s="310">
        <f>Ratios!O23-'BS and Cash Flow'!O88</f>
        <v>477.69368248598863</v>
      </c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5"/>
      <c r="AY28" s="305"/>
      <c r="AZ28" s="305"/>
      <c r="BA28" s="305"/>
      <c r="BB28" s="305"/>
      <c r="BC28" s="305"/>
      <c r="BD28" s="305"/>
      <c r="BE28" s="305"/>
      <c r="BF28" s="305"/>
      <c r="BG28" s="305"/>
      <c r="BH28" s="305"/>
      <c r="BI28" s="305"/>
      <c r="BJ28" s="305"/>
      <c r="BK28" s="305"/>
      <c r="BL28" s="305"/>
      <c r="BM28" s="305"/>
      <c r="BN28" s="305"/>
      <c r="BO28" s="305"/>
      <c r="BP28" s="305"/>
      <c r="BQ28" s="305"/>
      <c r="BR28" s="305"/>
      <c r="BS28" s="305"/>
      <c r="BT28" s="305"/>
      <c r="BU28" s="305"/>
      <c r="BV28" s="305"/>
      <c r="BW28" s="305"/>
      <c r="BX28" s="305"/>
      <c r="BY28" s="305"/>
      <c r="BZ28" s="305"/>
      <c r="CA28" s="305"/>
      <c r="CB28" s="305"/>
      <c r="CC28" s="305"/>
      <c r="CD28" s="305"/>
      <c r="CE28" s="305"/>
      <c r="CF28" s="305"/>
      <c r="CG28" s="305"/>
      <c r="CH28" s="305"/>
      <c r="CI28" s="305"/>
      <c r="CJ28" s="305"/>
      <c r="CK28" s="305"/>
      <c r="CL28" s="305"/>
      <c r="CM28" s="305"/>
      <c r="CN28" s="305"/>
      <c r="CO28" s="305"/>
      <c r="CP28" s="305"/>
      <c r="CQ28" s="305"/>
      <c r="CR28" s="305"/>
      <c r="CS28" s="309">
        <f>IS!CS14-'BS and Cash Flow'!CS88</f>
        <v>0</v>
      </c>
      <c r="CT28" s="310">
        <f>IS!CT14-'BS and Cash Flow'!CT88</f>
        <v>0</v>
      </c>
      <c r="CU28" s="310">
        <f>IS!CU14-'BS and Cash Flow'!CU88</f>
        <v>0</v>
      </c>
      <c r="CV28" s="310">
        <f>IS!CV14-'BS and Cash Flow'!CV88</f>
        <v>0</v>
      </c>
      <c r="CW28" s="310">
        <f>IS!CW14-'BS and Cash Flow'!CW88</f>
        <v>0</v>
      </c>
      <c r="CX28" s="310">
        <f>IS!CX14-'BS and Cash Flow'!CX88</f>
        <v>0</v>
      </c>
      <c r="CY28" s="310">
        <f>IS!CY14-'BS and Cash Flow'!CY88</f>
        <v>0</v>
      </c>
      <c r="CZ28" s="310">
        <f>IS!CZ14-'BS and Cash Flow'!CZ88</f>
        <v>0</v>
      </c>
    </row>
    <row r="29" spans="1:104">
      <c r="A29" s="304"/>
      <c r="B29" s="305"/>
      <c r="C29" s="305"/>
      <c r="D29" s="305" t="str">
        <f>D24</f>
        <v>vs. Total Interest</v>
      </c>
      <c r="E29" s="305"/>
      <c r="F29" s="305"/>
      <c r="G29" s="305"/>
      <c r="H29" s="314">
        <f ca="1">H28/H19</f>
        <v>1.2683401614954912</v>
      </c>
      <c r="I29" s="315">
        <f t="shared" ref="I29:O29" ca="1" si="13">I28/I19</f>
        <v>1.3712755793949611</v>
      </c>
      <c r="J29" s="315">
        <f t="shared" ca="1" si="13"/>
        <v>1.5901049609973468</v>
      </c>
      <c r="K29" s="315">
        <f t="shared" ca="1" si="13"/>
        <v>1.8714103611499469</v>
      </c>
      <c r="L29" s="315">
        <f t="shared" ca="1" si="13"/>
        <v>2.245984943283811</v>
      </c>
      <c r="M29" s="315">
        <f t="shared" ca="1" si="13"/>
        <v>2.7481502148029144</v>
      </c>
      <c r="N29" s="315">
        <f t="shared" ca="1" si="13"/>
        <v>3.4464007610646217</v>
      </c>
      <c r="O29" s="315">
        <f t="shared" ca="1" si="13"/>
        <v>4.4853581548873969</v>
      </c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5"/>
      <c r="AX29" s="305"/>
      <c r="AY29" s="305"/>
      <c r="AZ29" s="305"/>
      <c r="BA29" s="305"/>
      <c r="BB29" s="305"/>
      <c r="BC29" s="305"/>
      <c r="BD29" s="305"/>
      <c r="BE29" s="305"/>
      <c r="BF29" s="305"/>
      <c r="BG29" s="305"/>
      <c r="BH29" s="305"/>
      <c r="BI29" s="305"/>
      <c r="BJ29" s="305"/>
      <c r="BK29" s="305"/>
      <c r="BL29" s="305"/>
      <c r="BM29" s="305"/>
      <c r="BN29" s="305"/>
      <c r="BO29" s="305"/>
      <c r="BP29" s="305"/>
      <c r="BQ29" s="305"/>
      <c r="BR29" s="305"/>
      <c r="BS29" s="305"/>
      <c r="BT29" s="305"/>
      <c r="BU29" s="305"/>
      <c r="BV29" s="305"/>
      <c r="BW29" s="305"/>
      <c r="BX29" s="305"/>
      <c r="BY29" s="305"/>
      <c r="BZ29" s="305"/>
      <c r="CA29" s="305"/>
      <c r="CB29" s="305"/>
      <c r="CC29" s="305"/>
      <c r="CD29" s="305"/>
      <c r="CE29" s="305"/>
      <c r="CF29" s="305"/>
      <c r="CG29" s="305"/>
      <c r="CH29" s="305"/>
      <c r="CI29" s="305"/>
      <c r="CJ29" s="305"/>
      <c r="CK29" s="305"/>
      <c r="CL29" s="305"/>
      <c r="CM29" s="305"/>
      <c r="CN29" s="305"/>
      <c r="CO29" s="305"/>
      <c r="CP29" s="305"/>
      <c r="CQ29" s="305"/>
      <c r="CR29" s="305"/>
      <c r="CS29" s="314" t="e">
        <f>CS$28/CS19</f>
        <v>#DIV/0!</v>
      </c>
      <c r="CT29" s="315" t="e">
        <f t="shared" ref="CT29:CZ29" si="14">CT$28/CT19</f>
        <v>#DIV/0!</v>
      </c>
      <c r="CU29" s="315" t="e">
        <f t="shared" si="14"/>
        <v>#DIV/0!</v>
      </c>
      <c r="CV29" s="315" t="e">
        <f t="shared" si="14"/>
        <v>#DIV/0!</v>
      </c>
      <c r="CW29" s="315" t="e">
        <f t="shared" si="14"/>
        <v>#DIV/0!</v>
      </c>
      <c r="CX29" s="315" t="e">
        <f t="shared" si="14"/>
        <v>#DIV/0!</v>
      </c>
      <c r="CY29" s="315" t="e">
        <f t="shared" si="14"/>
        <v>#DIV/0!</v>
      </c>
      <c r="CZ29" s="315" t="e">
        <f t="shared" si="14"/>
        <v>#DIV/0!</v>
      </c>
    </row>
    <row r="30" spans="1:104">
      <c r="A30" s="304"/>
      <c r="B30" s="305"/>
      <c r="C30" s="305"/>
      <c r="D30" s="305" t="str">
        <f>D25</f>
        <v>vs. Net Interest</v>
      </c>
      <c r="E30" s="305"/>
      <c r="F30" s="305"/>
      <c r="G30" s="305"/>
      <c r="H30" s="314">
        <f ca="1">H28/H20</f>
        <v>1.2695654148099382</v>
      </c>
      <c r="I30" s="315">
        <f t="shared" ref="I30:O30" ca="1" si="15">I28/I20</f>
        <v>1.3726163432709544</v>
      </c>
      <c r="J30" s="315">
        <f t="shared" ca="1" si="15"/>
        <v>1.5917179234330314</v>
      </c>
      <c r="K30" s="315">
        <f t="shared" ca="1" si="15"/>
        <v>1.8734294108302736</v>
      </c>
      <c r="L30" s="315">
        <f t="shared" ca="1" si="15"/>
        <v>2.2486231372593957</v>
      </c>
      <c r="M30" s="315">
        <f t="shared" ca="1" si="15"/>
        <v>2.7517459649450262</v>
      </c>
      <c r="N30" s="315">
        <f t="shared" ca="1" si="15"/>
        <v>3.4515660252493432</v>
      </c>
      <c r="O30" s="315">
        <f t="shared" ca="1" si="15"/>
        <v>4.4933744526778243</v>
      </c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5"/>
      <c r="AG30" s="305"/>
      <c r="AH30" s="305"/>
      <c r="AI30" s="305"/>
      <c r="AJ30" s="305"/>
      <c r="AK30" s="305"/>
      <c r="AL30" s="305"/>
      <c r="AM30" s="305"/>
      <c r="AN30" s="305"/>
      <c r="AO30" s="305"/>
      <c r="AP30" s="305"/>
      <c r="AQ30" s="305"/>
      <c r="AR30" s="305"/>
      <c r="AS30" s="305"/>
      <c r="AT30" s="305"/>
      <c r="AU30" s="305"/>
      <c r="AV30" s="305"/>
      <c r="AW30" s="305"/>
      <c r="AX30" s="305"/>
      <c r="AY30" s="305"/>
      <c r="AZ30" s="305"/>
      <c r="BA30" s="305"/>
      <c r="BB30" s="305"/>
      <c r="BC30" s="305"/>
      <c r="BD30" s="305"/>
      <c r="BE30" s="305"/>
      <c r="BF30" s="305"/>
      <c r="BG30" s="305"/>
      <c r="BH30" s="305"/>
      <c r="BI30" s="305"/>
      <c r="BJ30" s="305"/>
      <c r="BK30" s="305"/>
      <c r="BL30" s="305"/>
      <c r="BM30" s="305"/>
      <c r="BN30" s="305"/>
      <c r="BO30" s="305"/>
      <c r="BP30" s="305"/>
      <c r="BQ30" s="305"/>
      <c r="BR30" s="305"/>
      <c r="BS30" s="305"/>
      <c r="BT30" s="305"/>
      <c r="BU30" s="305"/>
      <c r="BV30" s="305"/>
      <c r="BW30" s="305"/>
      <c r="BX30" s="305"/>
      <c r="BY30" s="305"/>
      <c r="BZ30" s="305"/>
      <c r="CA30" s="305"/>
      <c r="CB30" s="305"/>
      <c r="CC30" s="305"/>
      <c r="CD30" s="305"/>
      <c r="CE30" s="305"/>
      <c r="CF30" s="305"/>
      <c r="CG30" s="305"/>
      <c r="CH30" s="305"/>
      <c r="CI30" s="305"/>
      <c r="CJ30" s="305"/>
      <c r="CK30" s="305"/>
      <c r="CL30" s="305"/>
      <c r="CM30" s="305"/>
      <c r="CN30" s="305"/>
      <c r="CO30" s="305"/>
      <c r="CP30" s="305"/>
      <c r="CQ30" s="305"/>
      <c r="CR30" s="305"/>
      <c r="CS30" s="314" t="e">
        <f t="shared" ref="CS30:CZ30" si="16">CS$28/CS20</f>
        <v>#DIV/0!</v>
      </c>
      <c r="CT30" s="315" t="e">
        <f t="shared" si="16"/>
        <v>#DIV/0!</v>
      </c>
      <c r="CU30" s="315" t="e">
        <f t="shared" si="16"/>
        <v>#DIV/0!</v>
      </c>
      <c r="CV30" s="315" t="e">
        <f t="shared" si="16"/>
        <v>#DIV/0!</v>
      </c>
      <c r="CW30" s="315" t="e">
        <f t="shared" si="16"/>
        <v>#DIV/0!</v>
      </c>
      <c r="CX30" s="315" t="e">
        <f t="shared" si="16"/>
        <v>#DIV/0!</v>
      </c>
      <c r="CY30" s="315" t="e">
        <f t="shared" si="16"/>
        <v>#DIV/0!</v>
      </c>
      <c r="CZ30" s="315" t="e">
        <f t="shared" si="16"/>
        <v>#DIV/0!</v>
      </c>
    </row>
    <row r="31" spans="1:104">
      <c r="A31" s="304"/>
      <c r="B31" s="305"/>
      <c r="C31" s="305"/>
      <c r="D31" s="305" t="str">
        <f>D26</f>
        <v>vs. Cash Interest (a)</v>
      </c>
      <c r="E31" s="305"/>
      <c r="F31" s="305"/>
      <c r="G31" s="305"/>
      <c r="H31" s="314">
        <f ca="1">H28/H21</f>
        <v>1.3255626604271604</v>
      </c>
      <c r="I31" s="315">
        <f t="shared" ref="I31:O31" ca="1" si="17">I28/I21</f>
        <v>1.4339262470718783</v>
      </c>
      <c r="J31" s="315">
        <f t="shared" ca="1" si="17"/>
        <v>1.6656011288718708</v>
      </c>
      <c r="K31" s="315">
        <f t="shared" ca="1" si="17"/>
        <v>1.9661936365007719</v>
      </c>
      <c r="L31" s="315">
        <f t="shared" ca="1" si="17"/>
        <v>2.3703801981859249</v>
      </c>
      <c r="M31" s="315">
        <f t="shared" ca="1" si="17"/>
        <v>2.9187480560580332</v>
      </c>
      <c r="N31" s="315">
        <f t="shared" ca="1" si="17"/>
        <v>3.693645658967557</v>
      </c>
      <c r="O31" s="315">
        <f t="shared" ca="1" si="17"/>
        <v>4.8743239131882738</v>
      </c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  <c r="AR31" s="305"/>
      <c r="AS31" s="305"/>
      <c r="AT31" s="305"/>
      <c r="AU31" s="305"/>
      <c r="AV31" s="305"/>
      <c r="AW31" s="305"/>
      <c r="AX31" s="305"/>
      <c r="AY31" s="305"/>
      <c r="AZ31" s="305"/>
      <c r="BA31" s="305"/>
      <c r="BB31" s="305"/>
      <c r="BC31" s="305"/>
      <c r="BD31" s="305"/>
      <c r="BE31" s="305"/>
      <c r="BF31" s="305"/>
      <c r="BG31" s="305"/>
      <c r="BH31" s="305"/>
      <c r="BI31" s="305"/>
      <c r="BJ31" s="305"/>
      <c r="BK31" s="305"/>
      <c r="BL31" s="305"/>
      <c r="BM31" s="305"/>
      <c r="BN31" s="305"/>
      <c r="BO31" s="305"/>
      <c r="BP31" s="305"/>
      <c r="BQ31" s="305"/>
      <c r="BR31" s="305"/>
      <c r="BS31" s="305"/>
      <c r="BT31" s="305"/>
      <c r="BU31" s="305"/>
      <c r="BV31" s="305"/>
      <c r="BW31" s="305"/>
      <c r="BX31" s="305"/>
      <c r="BY31" s="305"/>
      <c r="BZ31" s="305"/>
      <c r="CA31" s="305"/>
      <c r="CB31" s="305"/>
      <c r="CC31" s="305"/>
      <c r="CD31" s="305"/>
      <c r="CE31" s="305"/>
      <c r="CF31" s="305"/>
      <c r="CG31" s="305"/>
      <c r="CH31" s="305"/>
      <c r="CI31" s="305"/>
      <c r="CJ31" s="305"/>
      <c r="CK31" s="305"/>
      <c r="CL31" s="305"/>
      <c r="CM31" s="305"/>
      <c r="CN31" s="305"/>
      <c r="CO31" s="305"/>
      <c r="CP31" s="305"/>
      <c r="CQ31" s="305"/>
      <c r="CR31" s="305"/>
      <c r="CS31" s="314" t="e">
        <f t="shared" ref="CS31:CZ31" si="18">CS$28/CS21</f>
        <v>#DIV/0!</v>
      </c>
      <c r="CT31" s="315" t="e">
        <f t="shared" si="18"/>
        <v>#DIV/0!</v>
      </c>
      <c r="CU31" s="315" t="e">
        <f t="shared" si="18"/>
        <v>#DIV/0!</v>
      </c>
      <c r="CV31" s="315" t="e">
        <f t="shared" si="18"/>
        <v>#DIV/0!</v>
      </c>
      <c r="CW31" s="315" t="e">
        <f t="shared" si="18"/>
        <v>#DIV/0!</v>
      </c>
      <c r="CX31" s="315" t="e">
        <f t="shared" si="18"/>
        <v>#DIV/0!</v>
      </c>
      <c r="CY31" s="315" t="e">
        <f t="shared" si="18"/>
        <v>#DIV/0!</v>
      </c>
      <c r="CZ31" s="315" t="e">
        <f t="shared" si="18"/>
        <v>#DIV/0!</v>
      </c>
    </row>
    <row r="32" spans="1:104" ht="7" customHeight="1">
      <c r="A32" s="304"/>
      <c r="B32" s="305"/>
      <c r="C32" s="305"/>
      <c r="D32" s="305"/>
      <c r="E32" s="305"/>
      <c r="F32" s="305"/>
      <c r="G32" s="305"/>
      <c r="H32" s="308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  <c r="AD32" s="305"/>
      <c r="AE32" s="305"/>
      <c r="AF32" s="305"/>
      <c r="AG32" s="305"/>
      <c r="AH32" s="305"/>
      <c r="AI32" s="305"/>
      <c r="AJ32" s="305"/>
      <c r="AK32" s="305"/>
      <c r="AL32" s="305"/>
      <c r="AM32" s="305"/>
      <c r="AN32" s="305"/>
      <c r="AO32" s="305"/>
      <c r="AP32" s="305"/>
      <c r="AQ32" s="305"/>
      <c r="AR32" s="305"/>
      <c r="AS32" s="305"/>
      <c r="AT32" s="305"/>
      <c r="AU32" s="305"/>
      <c r="AV32" s="305"/>
      <c r="AW32" s="305"/>
      <c r="AX32" s="305"/>
      <c r="AY32" s="305"/>
      <c r="AZ32" s="305"/>
      <c r="BA32" s="305"/>
      <c r="BB32" s="305"/>
      <c r="BC32" s="305"/>
      <c r="BD32" s="305"/>
      <c r="BE32" s="305"/>
      <c r="BF32" s="305"/>
      <c r="BG32" s="305"/>
      <c r="BH32" s="305"/>
      <c r="BI32" s="305"/>
      <c r="BJ32" s="305"/>
      <c r="BK32" s="305"/>
      <c r="BL32" s="305"/>
      <c r="BM32" s="305"/>
      <c r="BN32" s="305"/>
      <c r="BO32" s="305"/>
      <c r="BP32" s="305"/>
      <c r="BQ32" s="305"/>
      <c r="BR32" s="305"/>
      <c r="BS32" s="305"/>
      <c r="BT32" s="305"/>
      <c r="BU32" s="305"/>
      <c r="BV32" s="305"/>
      <c r="BW32" s="305"/>
      <c r="BX32" s="305"/>
      <c r="BY32" s="305"/>
      <c r="BZ32" s="305"/>
      <c r="CA32" s="305"/>
      <c r="CB32" s="305"/>
      <c r="CC32" s="305"/>
      <c r="CD32" s="305"/>
      <c r="CE32" s="305"/>
      <c r="CF32" s="305"/>
      <c r="CG32" s="305"/>
      <c r="CH32" s="305"/>
      <c r="CI32" s="305"/>
      <c r="CJ32" s="305"/>
      <c r="CK32" s="305"/>
      <c r="CL32" s="305"/>
      <c r="CM32" s="305"/>
      <c r="CN32" s="305"/>
      <c r="CO32" s="305"/>
      <c r="CP32" s="305"/>
      <c r="CQ32" s="305"/>
      <c r="CR32" s="305"/>
      <c r="CS32" s="308"/>
      <c r="CT32" s="305"/>
      <c r="CU32" s="305"/>
      <c r="CV32" s="305"/>
      <c r="CW32" s="305"/>
      <c r="CX32" s="305"/>
      <c r="CY32" s="305"/>
      <c r="CZ32" s="305"/>
    </row>
    <row r="33" spans="1:104">
      <c r="A33" s="304" t="s">
        <v>26</v>
      </c>
      <c r="B33" s="113" t="s">
        <v>208</v>
      </c>
      <c r="C33" s="305"/>
      <c r="D33" s="305"/>
      <c r="E33" s="305"/>
      <c r="F33" s="305"/>
      <c r="G33" s="305"/>
      <c r="H33" s="308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5"/>
      <c r="AG33" s="305"/>
      <c r="AH33" s="305"/>
      <c r="AI33" s="305"/>
      <c r="AJ33" s="305"/>
      <c r="AK33" s="305"/>
      <c r="AL33" s="305"/>
      <c r="AM33" s="305"/>
      <c r="AN33" s="305"/>
      <c r="AO33" s="305"/>
      <c r="AP33" s="305"/>
      <c r="AQ33" s="305"/>
      <c r="AR33" s="305"/>
      <c r="AS33" s="305"/>
      <c r="AT33" s="305"/>
      <c r="AU33" s="305"/>
      <c r="AV33" s="305"/>
      <c r="AW33" s="305"/>
      <c r="AX33" s="305"/>
      <c r="AY33" s="305"/>
      <c r="AZ33" s="305"/>
      <c r="BA33" s="305"/>
      <c r="BB33" s="305"/>
      <c r="BC33" s="305"/>
      <c r="BD33" s="305"/>
      <c r="BE33" s="305"/>
      <c r="BF33" s="305"/>
      <c r="BG33" s="305"/>
      <c r="BH33" s="305"/>
      <c r="BI33" s="305"/>
      <c r="BJ33" s="305"/>
      <c r="BK33" s="305"/>
      <c r="BL33" s="305"/>
      <c r="BM33" s="305"/>
      <c r="BN33" s="305"/>
      <c r="BO33" s="305"/>
      <c r="BP33" s="305"/>
      <c r="BQ33" s="305"/>
      <c r="BR33" s="305"/>
      <c r="BS33" s="305"/>
      <c r="BT33" s="305"/>
      <c r="BU33" s="305"/>
      <c r="BV33" s="305"/>
      <c r="BW33" s="305"/>
      <c r="BX33" s="305"/>
      <c r="BY33" s="305"/>
      <c r="BZ33" s="305"/>
      <c r="CA33" s="305"/>
      <c r="CB33" s="305"/>
      <c r="CC33" s="305"/>
      <c r="CD33" s="305"/>
      <c r="CE33" s="305"/>
      <c r="CF33" s="305"/>
      <c r="CG33" s="305"/>
      <c r="CH33" s="305"/>
      <c r="CI33" s="305"/>
      <c r="CJ33" s="305"/>
      <c r="CK33" s="305"/>
      <c r="CL33" s="305"/>
      <c r="CM33" s="305"/>
      <c r="CN33" s="305"/>
      <c r="CO33" s="305"/>
      <c r="CP33" s="305"/>
      <c r="CQ33" s="305"/>
      <c r="CR33" s="305"/>
      <c r="CS33" s="308"/>
      <c r="CT33" s="305"/>
      <c r="CU33" s="305"/>
      <c r="CV33" s="305"/>
      <c r="CW33" s="305"/>
      <c r="CX33" s="305"/>
      <c r="CY33" s="305"/>
      <c r="CZ33" s="305"/>
    </row>
    <row r="34" spans="1:104">
      <c r="A34" s="304"/>
      <c r="B34" s="305"/>
      <c r="C34" s="305" t="s">
        <v>209</v>
      </c>
      <c r="D34" s="305"/>
      <c r="E34" s="305"/>
      <c r="F34" s="305"/>
      <c r="G34" s="305"/>
      <c r="H34" s="316">
        <f ca="1">H11/H16</f>
        <v>0.55040561961999912</v>
      </c>
      <c r="I34" s="317">
        <f t="shared" ref="I34:O34" ca="1" si="19">I11/I16</f>
        <v>0.5399792989084452</v>
      </c>
      <c r="J34" s="317">
        <f t="shared" ca="1" si="19"/>
        <v>0.50641129764405202</v>
      </c>
      <c r="K34" s="317">
        <f t="shared" ca="1" si="19"/>
        <v>0.4668983194397503</v>
      </c>
      <c r="L34" s="317">
        <f t="shared" ca="1" si="19"/>
        <v>0.42071017781232128</v>
      </c>
      <c r="M34" s="317">
        <f t="shared" ca="1" si="19"/>
        <v>0.36726837219011804</v>
      </c>
      <c r="N34" s="317">
        <f t="shared" ca="1" si="19"/>
        <v>0.30603797405611016</v>
      </c>
      <c r="O34" s="317">
        <f t="shared" ca="1" si="19"/>
        <v>0.23646160034919045</v>
      </c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  <c r="AF34" s="305"/>
      <c r="AG34" s="305"/>
      <c r="AH34" s="305"/>
      <c r="AI34" s="305"/>
      <c r="AJ34" s="305"/>
      <c r="AK34" s="305"/>
      <c r="AL34" s="305"/>
      <c r="AM34" s="305"/>
      <c r="AN34" s="305"/>
      <c r="AO34" s="305"/>
      <c r="AP34" s="305"/>
      <c r="AQ34" s="305"/>
      <c r="AR34" s="305"/>
      <c r="AS34" s="305"/>
      <c r="AT34" s="305"/>
      <c r="AU34" s="305"/>
      <c r="AV34" s="305"/>
      <c r="AW34" s="305"/>
      <c r="AX34" s="305"/>
      <c r="AY34" s="305"/>
      <c r="AZ34" s="305"/>
      <c r="BA34" s="305"/>
      <c r="BB34" s="305"/>
      <c r="BC34" s="305"/>
      <c r="BD34" s="305"/>
      <c r="BE34" s="305"/>
      <c r="BF34" s="305"/>
      <c r="BG34" s="305"/>
      <c r="BH34" s="305"/>
      <c r="BI34" s="305"/>
      <c r="BJ34" s="305"/>
      <c r="BK34" s="305"/>
      <c r="BL34" s="305"/>
      <c r="BM34" s="305"/>
      <c r="BN34" s="305"/>
      <c r="BO34" s="305"/>
      <c r="BP34" s="305"/>
      <c r="BQ34" s="305"/>
      <c r="BR34" s="305"/>
      <c r="BS34" s="305"/>
      <c r="BT34" s="305"/>
      <c r="BU34" s="305"/>
      <c r="BV34" s="305"/>
      <c r="BW34" s="305"/>
      <c r="BX34" s="305"/>
      <c r="BY34" s="305"/>
      <c r="BZ34" s="305"/>
      <c r="CA34" s="305"/>
      <c r="CB34" s="305"/>
      <c r="CC34" s="305"/>
      <c r="CD34" s="305"/>
      <c r="CE34" s="305"/>
      <c r="CF34" s="305"/>
      <c r="CG34" s="305"/>
      <c r="CH34" s="305"/>
      <c r="CI34" s="305"/>
      <c r="CJ34" s="305"/>
      <c r="CK34" s="305"/>
      <c r="CL34" s="305"/>
      <c r="CM34" s="305"/>
      <c r="CN34" s="305"/>
      <c r="CO34" s="305"/>
      <c r="CP34" s="305"/>
      <c r="CQ34" s="305"/>
      <c r="CR34" s="305"/>
      <c r="CS34" s="316" t="e">
        <f>CS11/CS16</f>
        <v>#DIV/0!</v>
      </c>
      <c r="CT34" s="317" t="e">
        <f t="shared" ref="CT34:CZ34" si="20">CT11/CT16</f>
        <v>#DIV/0!</v>
      </c>
      <c r="CU34" s="317" t="e">
        <f t="shared" si="20"/>
        <v>#DIV/0!</v>
      </c>
      <c r="CV34" s="317" t="e">
        <f t="shared" si="20"/>
        <v>#DIV/0!</v>
      </c>
      <c r="CW34" s="317" t="e">
        <f t="shared" si="20"/>
        <v>#DIV/0!</v>
      </c>
      <c r="CX34" s="317" t="e">
        <f t="shared" si="20"/>
        <v>#DIV/0!</v>
      </c>
      <c r="CY34" s="317" t="e">
        <f t="shared" si="20"/>
        <v>#DIV/0!</v>
      </c>
      <c r="CZ34" s="317" t="e">
        <f t="shared" si="20"/>
        <v>#DIV/0!</v>
      </c>
    </row>
    <row r="35" spans="1:104">
      <c r="A35" s="304"/>
      <c r="B35" s="305"/>
      <c r="C35" s="305" t="s">
        <v>210</v>
      </c>
      <c r="D35" s="305"/>
      <c r="E35" s="305"/>
      <c r="F35" s="305"/>
      <c r="G35" s="305"/>
      <c r="H35" s="316">
        <f ca="1">H13/H16</f>
        <v>0.54938583983867117</v>
      </c>
      <c r="I35" s="317">
        <f t="shared" ref="I35:O35" ca="1" si="21">I13/I16</f>
        <v>0.54101258737852975</v>
      </c>
      <c r="J35" s="317">
        <f t="shared" ca="1" si="21"/>
        <v>0.50744753505339402</v>
      </c>
      <c r="K35" s="317">
        <f t="shared" ca="1" si="21"/>
        <v>0.46793756694926303</v>
      </c>
      <c r="L35" s="317">
        <f t="shared" ca="1" si="21"/>
        <v>0.4217524853814647</v>
      </c>
      <c r="M35" s="317">
        <f t="shared" ca="1" si="21"/>
        <v>0.36831377700351603</v>
      </c>
      <c r="N35" s="317">
        <f t="shared" ca="1" si="21"/>
        <v>0.30708649886835859</v>
      </c>
      <c r="O35" s="317">
        <f t="shared" ca="1" si="21"/>
        <v>0.23751325175454427</v>
      </c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  <c r="AA35" s="305"/>
      <c r="AB35" s="30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M35" s="305"/>
      <c r="AN35" s="305"/>
      <c r="AO35" s="305"/>
      <c r="AP35" s="305"/>
      <c r="AQ35" s="305"/>
      <c r="AR35" s="305"/>
      <c r="AS35" s="305"/>
      <c r="AT35" s="305"/>
      <c r="AU35" s="305"/>
      <c r="AV35" s="305"/>
      <c r="AW35" s="305"/>
      <c r="AX35" s="305"/>
      <c r="AY35" s="305"/>
      <c r="AZ35" s="305"/>
      <c r="BA35" s="305"/>
      <c r="BB35" s="305"/>
      <c r="BC35" s="305"/>
      <c r="BD35" s="305"/>
      <c r="BE35" s="305"/>
      <c r="BF35" s="305"/>
      <c r="BG35" s="305"/>
      <c r="BH35" s="305"/>
      <c r="BI35" s="305"/>
      <c r="BJ35" s="305"/>
      <c r="BK35" s="305"/>
      <c r="BL35" s="305"/>
      <c r="BM35" s="305"/>
      <c r="BN35" s="305"/>
      <c r="BO35" s="305"/>
      <c r="BP35" s="305"/>
      <c r="BQ35" s="305"/>
      <c r="BR35" s="305"/>
      <c r="BS35" s="305"/>
      <c r="BT35" s="305"/>
      <c r="BU35" s="305"/>
      <c r="BV35" s="305"/>
      <c r="BW35" s="305"/>
      <c r="BX35" s="305"/>
      <c r="BY35" s="305"/>
      <c r="BZ35" s="305"/>
      <c r="CA35" s="305"/>
      <c r="CB35" s="305"/>
      <c r="CC35" s="305"/>
      <c r="CD35" s="305"/>
      <c r="CE35" s="305"/>
      <c r="CF35" s="305"/>
      <c r="CG35" s="305"/>
      <c r="CH35" s="305"/>
      <c r="CI35" s="305"/>
      <c r="CJ35" s="305"/>
      <c r="CK35" s="305"/>
      <c r="CL35" s="305"/>
      <c r="CM35" s="305"/>
      <c r="CN35" s="305"/>
      <c r="CO35" s="305"/>
      <c r="CP35" s="305"/>
      <c r="CQ35" s="305"/>
      <c r="CR35" s="305"/>
      <c r="CS35" s="316" t="e">
        <f>CS13/CS16</f>
        <v>#DIV/0!</v>
      </c>
      <c r="CT35" s="317" t="e">
        <f t="shared" ref="CT35:CZ35" si="22">CT13/CT16</f>
        <v>#DIV/0!</v>
      </c>
      <c r="CU35" s="317" t="e">
        <f t="shared" si="22"/>
        <v>#DIV/0!</v>
      </c>
      <c r="CV35" s="317" t="e">
        <f t="shared" si="22"/>
        <v>#DIV/0!</v>
      </c>
      <c r="CW35" s="317" t="e">
        <f t="shared" si="22"/>
        <v>#DIV/0!</v>
      </c>
      <c r="CX35" s="317" t="e">
        <f t="shared" si="22"/>
        <v>#DIV/0!</v>
      </c>
      <c r="CY35" s="317" t="e">
        <f t="shared" si="22"/>
        <v>#DIV/0!</v>
      </c>
      <c r="CZ35" s="317" t="e">
        <f t="shared" si="22"/>
        <v>#DIV/0!</v>
      </c>
    </row>
    <row r="36" spans="1:104" ht="7" customHeight="1">
      <c r="A36" s="304"/>
      <c r="B36" s="305"/>
      <c r="C36" s="305"/>
      <c r="D36" s="305"/>
      <c r="E36" s="305"/>
      <c r="F36" s="305"/>
      <c r="G36" s="305"/>
      <c r="H36" s="316"/>
      <c r="I36" s="317"/>
      <c r="J36" s="317"/>
      <c r="K36" s="317"/>
      <c r="L36" s="317"/>
      <c r="M36" s="317"/>
      <c r="N36" s="317"/>
      <c r="O36" s="317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5"/>
      <c r="AD36" s="305"/>
      <c r="AE36" s="305"/>
      <c r="AF36" s="305"/>
      <c r="AG36" s="305"/>
      <c r="AH36" s="305"/>
      <c r="AI36" s="305"/>
      <c r="AJ36" s="305"/>
      <c r="AK36" s="305"/>
      <c r="AL36" s="305"/>
      <c r="AM36" s="305"/>
      <c r="AN36" s="305"/>
      <c r="AO36" s="305"/>
      <c r="AP36" s="305"/>
      <c r="AQ36" s="305"/>
      <c r="AR36" s="305"/>
      <c r="AS36" s="305"/>
      <c r="AT36" s="305"/>
      <c r="AU36" s="305"/>
      <c r="AV36" s="305"/>
      <c r="AW36" s="305"/>
      <c r="AX36" s="305"/>
      <c r="AY36" s="305"/>
      <c r="AZ36" s="305"/>
      <c r="BA36" s="305"/>
      <c r="BB36" s="305"/>
      <c r="BC36" s="305"/>
      <c r="BD36" s="305"/>
      <c r="BE36" s="305"/>
      <c r="BF36" s="305"/>
      <c r="BG36" s="305"/>
      <c r="BH36" s="305"/>
      <c r="BI36" s="305"/>
      <c r="BJ36" s="305"/>
      <c r="BK36" s="305"/>
      <c r="BL36" s="305"/>
      <c r="BM36" s="305"/>
      <c r="BN36" s="305"/>
      <c r="BO36" s="305"/>
      <c r="BP36" s="305"/>
      <c r="BQ36" s="305"/>
      <c r="BR36" s="305"/>
      <c r="BS36" s="305"/>
      <c r="BT36" s="305"/>
      <c r="BU36" s="305"/>
      <c r="BV36" s="305"/>
      <c r="BW36" s="305"/>
      <c r="BX36" s="305"/>
      <c r="BY36" s="305"/>
      <c r="BZ36" s="305"/>
      <c r="CA36" s="305"/>
      <c r="CB36" s="305"/>
      <c r="CC36" s="305"/>
      <c r="CD36" s="305"/>
      <c r="CE36" s="305"/>
      <c r="CF36" s="305"/>
      <c r="CG36" s="305"/>
      <c r="CH36" s="305"/>
      <c r="CI36" s="305"/>
      <c r="CJ36" s="305"/>
      <c r="CK36" s="305"/>
      <c r="CL36" s="305"/>
      <c r="CM36" s="305"/>
      <c r="CN36" s="305"/>
      <c r="CO36" s="305"/>
      <c r="CP36" s="305"/>
      <c r="CQ36" s="305"/>
      <c r="CR36" s="305"/>
      <c r="CS36" s="316"/>
      <c r="CT36" s="317"/>
      <c r="CU36" s="317"/>
      <c r="CV36" s="317"/>
      <c r="CW36" s="317"/>
      <c r="CX36" s="317"/>
      <c r="CY36" s="317"/>
      <c r="CZ36" s="317"/>
    </row>
    <row r="37" spans="1:104">
      <c r="A37" s="304"/>
      <c r="B37" s="305"/>
      <c r="C37" s="305" t="s">
        <v>211</v>
      </c>
      <c r="D37" s="305"/>
      <c r="E37" s="305"/>
      <c r="F37" s="305"/>
      <c r="G37" s="305"/>
      <c r="H37" s="318">
        <f ca="1">H11/H15</f>
        <v>1.2242270892149318</v>
      </c>
      <c r="I37" s="319">
        <f t="shared" ref="I37:O37" ca="1" si="23">I11/I15</f>
        <v>1.1738152166351683</v>
      </c>
      <c r="J37" s="319">
        <f t="shared" ca="1" si="23"/>
        <v>1.0259782998008273</v>
      </c>
      <c r="K37" s="319">
        <f t="shared" ca="1" si="23"/>
        <v>0.87581475816972731</v>
      </c>
      <c r="L37" s="319">
        <f t="shared" ca="1" si="23"/>
        <v>0.72625163035579665</v>
      </c>
      <c r="M37" s="319">
        <f t="shared" ca="1" si="23"/>
        <v>0.58044889183328741</v>
      </c>
      <c r="N37" s="319">
        <f t="shared" ca="1" si="23"/>
        <v>0.44100103840675403</v>
      </c>
      <c r="O37" s="319">
        <f t="shared" ca="1" si="23"/>
        <v>0.30969182487394459</v>
      </c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5"/>
      <c r="AG37" s="305"/>
      <c r="AH37" s="305"/>
      <c r="AI37" s="305"/>
      <c r="AJ37" s="305"/>
      <c r="AK37" s="305"/>
      <c r="AL37" s="305"/>
      <c r="AM37" s="305"/>
      <c r="AN37" s="305"/>
      <c r="AO37" s="305"/>
      <c r="AP37" s="305"/>
      <c r="AQ37" s="305"/>
      <c r="AR37" s="305"/>
      <c r="AS37" s="305"/>
      <c r="AT37" s="305"/>
      <c r="AU37" s="305"/>
      <c r="AV37" s="305"/>
      <c r="AW37" s="305"/>
      <c r="AX37" s="305"/>
      <c r="AY37" s="305"/>
      <c r="AZ37" s="305"/>
      <c r="BA37" s="305"/>
      <c r="BB37" s="305"/>
      <c r="BC37" s="305"/>
      <c r="BD37" s="305"/>
      <c r="BE37" s="305"/>
      <c r="BF37" s="305"/>
      <c r="BG37" s="305"/>
      <c r="BH37" s="305"/>
      <c r="BI37" s="305"/>
      <c r="BJ37" s="305"/>
      <c r="BK37" s="305"/>
      <c r="BL37" s="305"/>
      <c r="BM37" s="305"/>
      <c r="BN37" s="305"/>
      <c r="BO37" s="305"/>
      <c r="BP37" s="305"/>
      <c r="BQ37" s="305"/>
      <c r="BR37" s="305"/>
      <c r="BS37" s="305"/>
      <c r="BT37" s="305"/>
      <c r="BU37" s="305"/>
      <c r="BV37" s="305"/>
      <c r="BW37" s="305"/>
      <c r="BX37" s="305"/>
      <c r="BY37" s="305"/>
      <c r="BZ37" s="305"/>
      <c r="CA37" s="305"/>
      <c r="CB37" s="305"/>
      <c r="CC37" s="305"/>
      <c r="CD37" s="305"/>
      <c r="CE37" s="305"/>
      <c r="CF37" s="305"/>
      <c r="CG37" s="305"/>
      <c r="CH37" s="305"/>
      <c r="CI37" s="305"/>
      <c r="CJ37" s="305"/>
      <c r="CK37" s="305"/>
      <c r="CL37" s="305"/>
      <c r="CM37" s="305"/>
      <c r="CN37" s="305"/>
      <c r="CO37" s="305"/>
      <c r="CP37" s="305"/>
      <c r="CQ37" s="305"/>
      <c r="CR37" s="305"/>
      <c r="CS37" s="318" t="e">
        <f>IF('S&amp;U and Opening BS'!$D$3="Y","NM ",CS11/CS15)</f>
        <v>#DIV/0!</v>
      </c>
      <c r="CT37" s="319" t="e">
        <f>IF('S&amp;U and Opening BS'!$D$3="Y","NM ",CT11/CT15)</f>
        <v>#DIV/0!</v>
      </c>
      <c r="CU37" s="319" t="e">
        <f>IF('S&amp;U and Opening BS'!$D$3="Y","NM ",CU11/CU15)</f>
        <v>#DIV/0!</v>
      </c>
      <c r="CV37" s="319" t="e">
        <f>IF('S&amp;U and Opening BS'!$D$3="Y","NM ",CV11/CV15)</f>
        <v>#DIV/0!</v>
      </c>
      <c r="CW37" s="319" t="e">
        <f>IF('S&amp;U and Opening BS'!$D$3="Y","NM ",CW11/CW15)</f>
        <v>#DIV/0!</v>
      </c>
      <c r="CX37" s="319" t="e">
        <f>IF('S&amp;U and Opening BS'!$D$3="Y","NM ",CX11/CX15)</f>
        <v>#DIV/0!</v>
      </c>
      <c r="CY37" s="319" t="e">
        <f>IF('S&amp;U and Opening BS'!$D$3="Y","NM ",CY11/CY15)</f>
        <v>#DIV/0!</v>
      </c>
      <c r="CZ37" s="319" t="e">
        <f>IF('S&amp;U and Opening BS'!$D$3="Y","NM ",CZ11/CZ15)</f>
        <v>#DIV/0!</v>
      </c>
    </row>
    <row r="38" spans="1:104">
      <c r="A38" s="304"/>
      <c r="B38" s="305"/>
      <c r="C38" s="305" t="s">
        <v>212</v>
      </c>
      <c r="D38" s="305"/>
      <c r="E38" s="305"/>
      <c r="F38" s="305"/>
      <c r="G38" s="305"/>
      <c r="H38" s="318">
        <f ca="1">H13/H15</f>
        <v>1.2219588674002686</v>
      </c>
      <c r="I38" s="319">
        <f t="shared" ref="I38:O38" ca="1" si="24">I13/I15</f>
        <v>1.1760613948346117</v>
      </c>
      <c r="J38" s="319">
        <f t="shared" ca="1" si="24"/>
        <v>1.028077694305596</v>
      </c>
      <c r="K38" s="319">
        <f t="shared" ca="1" si="24"/>
        <v>0.87776419398546246</v>
      </c>
      <c r="L38" s="319">
        <f t="shared" ca="1" si="24"/>
        <v>0.72805091549636269</v>
      </c>
      <c r="M38" s="319">
        <f t="shared" ca="1" si="24"/>
        <v>0.58210110071213939</v>
      </c>
      <c r="N38" s="319">
        <f t="shared" ca="1" si="24"/>
        <v>0.44251196374999929</v>
      </c>
      <c r="O38" s="319">
        <f t="shared" ca="1" si="24"/>
        <v>0.31106916412215369</v>
      </c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  <c r="AB38" s="305"/>
      <c r="AC38" s="305"/>
      <c r="AD38" s="305"/>
      <c r="AE38" s="305"/>
      <c r="AF38" s="305"/>
      <c r="AG38" s="305"/>
      <c r="AH38" s="305"/>
      <c r="AI38" s="305"/>
      <c r="AJ38" s="305"/>
      <c r="AK38" s="305"/>
      <c r="AL38" s="305"/>
      <c r="AM38" s="305"/>
      <c r="AN38" s="305"/>
      <c r="AO38" s="305"/>
      <c r="AP38" s="305"/>
      <c r="AQ38" s="305"/>
      <c r="AR38" s="305"/>
      <c r="AS38" s="305"/>
      <c r="AT38" s="305"/>
      <c r="AU38" s="305"/>
      <c r="AV38" s="305"/>
      <c r="AW38" s="305"/>
      <c r="AX38" s="305"/>
      <c r="AY38" s="305"/>
      <c r="AZ38" s="305"/>
      <c r="BA38" s="305"/>
      <c r="BB38" s="305"/>
      <c r="BC38" s="305"/>
      <c r="BD38" s="305"/>
      <c r="BE38" s="305"/>
      <c r="BF38" s="305"/>
      <c r="BG38" s="305"/>
      <c r="BH38" s="305"/>
      <c r="BI38" s="305"/>
      <c r="BJ38" s="305"/>
      <c r="BK38" s="305"/>
      <c r="BL38" s="305"/>
      <c r="BM38" s="305"/>
      <c r="BN38" s="305"/>
      <c r="BO38" s="305"/>
      <c r="BP38" s="305"/>
      <c r="BQ38" s="305"/>
      <c r="BR38" s="305"/>
      <c r="BS38" s="305"/>
      <c r="BT38" s="305"/>
      <c r="BU38" s="305"/>
      <c r="BV38" s="305"/>
      <c r="BW38" s="305"/>
      <c r="BX38" s="305"/>
      <c r="BY38" s="305"/>
      <c r="BZ38" s="305"/>
      <c r="CA38" s="305"/>
      <c r="CB38" s="305"/>
      <c r="CC38" s="305"/>
      <c r="CD38" s="305"/>
      <c r="CE38" s="305"/>
      <c r="CF38" s="305"/>
      <c r="CG38" s="305"/>
      <c r="CH38" s="305"/>
      <c r="CI38" s="305"/>
      <c r="CJ38" s="305"/>
      <c r="CK38" s="305"/>
      <c r="CL38" s="305"/>
      <c r="CM38" s="305"/>
      <c r="CN38" s="305"/>
      <c r="CO38" s="305"/>
      <c r="CP38" s="305"/>
      <c r="CQ38" s="305"/>
      <c r="CR38" s="305"/>
      <c r="CS38" s="318" t="e">
        <f>IF('S&amp;U and Opening BS'!$D$3="Y","NM ",CS13/CS15)</f>
        <v>#DIV/0!</v>
      </c>
      <c r="CT38" s="319" t="e">
        <f>IF('S&amp;U and Opening BS'!$D$3="Y","NM ",CT13/CT15)</f>
        <v>#DIV/0!</v>
      </c>
      <c r="CU38" s="319" t="e">
        <f>IF('S&amp;U and Opening BS'!$D$3="Y","NM ",CU13/CU15)</f>
        <v>#DIV/0!</v>
      </c>
      <c r="CV38" s="319" t="e">
        <f>IF('S&amp;U and Opening BS'!$D$3="Y","NM ",CV13/CV15)</f>
        <v>#DIV/0!</v>
      </c>
      <c r="CW38" s="319" t="e">
        <f>IF('S&amp;U and Opening BS'!$D$3="Y","NM ",CW13/CW15)</f>
        <v>#DIV/0!</v>
      </c>
      <c r="CX38" s="319" t="e">
        <f>IF('S&amp;U and Opening BS'!$D$3="Y","NM ",CX13/CX15)</f>
        <v>#DIV/0!</v>
      </c>
      <c r="CY38" s="319" t="e">
        <f>IF('S&amp;U and Opening BS'!$D$3="Y","NM ",CY13/CY15)</f>
        <v>#DIV/0!</v>
      </c>
      <c r="CZ38" s="319" t="e">
        <f>IF('S&amp;U and Opening BS'!$D$3="Y","NM ",CZ13/CZ15)</f>
        <v>#DIV/0!</v>
      </c>
    </row>
    <row r="39" spans="1:104" ht="7" customHeight="1">
      <c r="A39" s="304"/>
      <c r="B39" s="305"/>
      <c r="C39" s="305"/>
      <c r="D39" s="305"/>
      <c r="E39" s="305"/>
      <c r="F39" s="305"/>
      <c r="G39" s="305"/>
      <c r="H39" s="318"/>
      <c r="I39" s="319"/>
      <c r="J39" s="319"/>
      <c r="K39" s="319"/>
      <c r="L39" s="319"/>
      <c r="M39" s="319"/>
      <c r="N39" s="319"/>
      <c r="O39" s="319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  <c r="BI39" s="305"/>
      <c r="BJ39" s="305"/>
      <c r="BK39" s="305"/>
      <c r="BL39" s="305"/>
      <c r="BM39" s="305"/>
      <c r="BN39" s="305"/>
      <c r="BO39" s="305"/>
      <c r="BP39" s="305"/>
      <c r="BQ39" s="305"/>
      <c r="BR39" s="305"/>
      <c r="BS39" s="305"/>
      <c r="BT39" s="305"/>
      <c r="BU39" s="305"/>
      <c r="BV39" s="305"/>
      <c r="BW39" s="305"/>
      <c r="BX39" s="305"/>
      <c r="BY39" s="305"/>
      <c r="BZ39" s="305"/>
      <c r="CA39" s="305"/>
      <c r="CB39" s="305"/>
      <c r="CC39" s="305"/>
      <c r="CD39" s="305"/>
      <c r="CE39" s="305"/>
      <c r="CF39" s="305"/>
      <c r="CG39" s="305"/>
      <c r="CH39" s="305"/>
      <c r="CI39" s="305"/>
      <c r="CJ39" s="305"/>
      <c r="CK39" s="305"/>
      <c r="CL39" s="305"/>
      <c r="CM39" s="305"/>
      <c r="CN39" s="305"/>
      <c r="CO39" s="305"/>
      <c r="CP39" s="305"/>
      <c r="CQ39" s="305"/>
      <c r="CR39" s="305"/>
      <c r="CS39" s="318"/>
      <c r="CT39" s="319"/>
      <c r="CU39" s="319"/>
      <c r="CV39" s="319"/>
      <c r="CW39" s="319"/>
      <c r="CX39" s="319"/>
      <c r="CY39" s="319"/>
      <c r="CZ39" s="319"/>
    </row>
    <row r="40" spans="1:104">
      <c r="A40" s="304"/>
      <c r="B40" s="305"/>
      <c r="C40" s="305" t="s">
        <v>213</v>
      </c>
      <c r="D40" s="305"/>
      <c r="E40" s="305"/>
      <c r="F40" s="305"/>
      <c r="G40" s="305"/>
      <c r="H40" s="320">
        <f ca="1">H15/H16</f>
        <v>0.44959438038000071</v>
      </c>
      <c r="I40" s="321">
        <f t="shared" ref="I40:O40" ca="1" si="25">I15/I16</f>
        <v>0.46002070109155463</v>
      </c>
      <c r="J40" s="321">
        <f t="shared" ca="1" si="25"/>
        <v>0.49358870235594787</v>
      </c>
      <c r="K40" s="321">
        <f t="shared" ca="1" si="25"/>
        <v>0.53310168056024965</v>
      </c>
      <c r="L40" s="321">
        <f t="shared" ca="1" si="25"/>
        <v>0.57928982218767877</v>
      </c>
      <c r="M40" s="321">
        <f t="shared" ca="1" si="25"/>
        <v>0.63273162780988201</v>
      </c>
      <c r="N40" s="321">
        <f t="shared" ca="1" si="25"/>
        <v>0.69396202594388978</v>
      </c>
      <c r="O40" s="321">
        <f t="shared" ca="1" si="25"/>
        <v>0.76353839965080961</v>
      </c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  <c r="BI40" s="305"/>
      <c r="BJ40" s="305"/>
      <c r="BK40" s="305"/>
      <c r="BL40" s="305"/>
      <c r="BM40" s="305"/>
      <c r="BN40" s="305"/>
      <c r="BO40" s="305"/>
      <c r="BP40" s="305"/>
      <c r="BQ40" s="305"/>
      <c r="BR40" s="305"/>
      <c r="BS40" s="305"/>
      <c r="BT40" s="305"/>
      <c r="BU40" s="305"/>
      <c r="BV40" s="305"/>
      <c r="BW40" s="305"/>
      <c r="BX40" s="305"/>
      <c r="BY40" s="305"/>
      <c r="BZ40" s="305"/>
      <c r="CA40" s="305"/>
      <c r="CB40" s="305"/>
      <c r="CC40" s="305"/>
      <c r="CD40" s="305"/>
      <c r="CE40" s="305"/>
      <c r="CF40" s="305"/>
      <c r="CG40" s="305"/>
      <c r="CH40" s="305"/>
      <c r="CI40" s="305"/>
      <c r="CJ40" s="305"/>
      <c r="CK40" s="305"/>
      <c r="CL40" s="305"/>
      <c r="CM40" s="305"/>
      <c r="CN40" s="305"/>
      <c r="CO40" s="305"/>
      <c r="CP40" s="305"/>
      <c r="CQ40" s="305"/>
      <c r="CR40" s="305"/>
      <c r="CS40" s="320" t="e">
        <f>CS15/CS16</f>
        <v>#DIV/0!</v>
      </c>
      <c r="CT40" s="321" t="e">
        <f t="shared" ref="CT40:CZ40" si="26">CT15/CT16</f>
        <v>#DIV/0!</v>
      </c>
      <c r="CU40" s="321" t="e">
        <f t="shared" si="26"/>
        <v>#DIV/0!</v>
      </c>
      <c r="CV40" s="321" t="e">
        <f t="shared" si="26"/>
        <v>#DIV/0!</v>
      </c>
      <c r="CW40" s="321" t="e">
        <f t="shared" si="26"/>
        <v>#DIV/0!</v>
      </c>
      <c r="CX40" s="321" t="e">
        <f t="shared" si="26"/>
        <v>#DIV/0!</v>
      </c>
      <c r="CY40" s="321" t="e">
        <f t="shared" si="26"/>
        <v>#DIV/0!</v>
      </c>
      <c r="CZ40" s="321" t="e">
        <f t="shared" si="26"/>
        <v>#DIV/0!</v>
      </c>
    </row>
    <row r="41" spans="1:104" ht="7" customHeight="1">
      <c r="A41" s="304"/>
      <c r="B41" s="305"/>
      <c r="C41" s="305"/>
      <c r="D41" s="305"/>
      <c r="E41" s="305"/>
      <c r="F41" s="305"/>
      <c r="G41" s="305"/>
      <c r="H41" s="308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05"/>
      <c r="AG41" s="305"/>
      <c r="AH41" s="305"/>
      <c r="AI41" s="305"/>
      <c r="AJ41" s="305"/>
      <c r="AK41" s="305"/>
      <c r="AL41" s="305"/>
      <c r="AM41" s="305"/>
      <c r="AN41" s="305"/>
      <c r="AO41" s="305"/>
      <c r="AP41" s="305"/>
      <c r="AQ41" s="305"/>
      <c r="AR41" s="305"/>
      <c r="AS41" s="305"/>
      <c r="AT41" s="305"/>
      <c r="AU41" s="305"/>
      <c r="AV41" s="305"/>
      <c r="AW41" s="305"/>
      <c r="AX41" s="305"/>
      <c r="AY41" s="305"/>
      <c r="AZ41" s="305"/>
      <c r="BA41" s="305"/>
      <c r="BB41" s="305"/>
      <c r="BC41" s="305"/>
      <c r="BD41" s="305"/>
      <c r="BE41" s="305"/>
      <c r="BF41" s="305"/>
      <c r="BG41" s="305"/>
      <c r="BH41" s="305"/>
      <c r="BI41" s="305"/>
      <c r="BJ41" s="305"/>
      <c r="BK41" s="305"/>
      <c r="BL41" s="305"/>
      <c r="BM41" s="305"/>
      <c r="BN41" s="305"/>
      <c r="BO41" s="305"/>
      <c r="BP41" s="305"/>
      <c r="BQ41" s="305"/>
      <c r="BR41" s="305"/>
      <c r="BS41" s="305"/>
      <c r="BT41" s="305"/>
      <c r="BU41" s="305"/>
      <c r="BV41" s="305"/>
      <c r="BW41" s="305"/>
      <c r="BX41" s="305"/>
      <c r="BY41" s="305"/>
      <c r="BZ41" s="305"/>
      <c r="CA41" s="305"/>
      <c r="CB41" s="305"/>
      <c r="CC41" s="305"/>
      <c r="CD41" s="305"/>
      <c r="CE41" s="305"/>
      <c r="CF41" s="305"/>
      <c r="CG41" s="305"/>
      <c r="CH41" s="305"/>
      <c r="CI41" s="305"/>
      <c r="CJ41" s="305"/>
      <c r="CK41" s="305"/>
      <c r="CL41" s="305"/>
      <c r="CM41" s="305"/>
      <c r="CN41" s="305"/>
      <c r="CO41" s="305"/>
      <c r="CP41" s="305"/>
      <c r="CQ41" s="305"/>
      <c r="CR41" s="305"/>
      <c r="CS41" s="308"/>
      <c r="CT41" s="305"/>
      <c r="CU41" s="305"/>
      <c r="CV41" s="305"/>
      <c r="CW41" s="305"/>
      <c r="CX41" s="305"/>
      <c r="CY41" s="305"/>
      <c r="CZ41" s="305"/>
    </row>
    <row r="42" spans="1:104">
      <c r="A42" s="304"/>
      <c r="B42" s="305"/>
      <c r="C42" s="305" t="s">
        <v>214</v>
      </c>
      <c r="D42" s="305"/>
      <c r="E42" s="305"/>
      <c r="F42" s="305"/>
      <c r="G42" s="305"/>
      <c r="H42" s="314">
        <f ca="1">H9/H23</f>
        <v>6.7774149600459399</v>
      </c>
      <c r="I42" s="315">
        <f t="shared" ref="I42:O42" ca="1" si="27">I9/I23</f>
        <v>5.8470849967813585</v>
      </c>
      <c r="J42" s="315">
        <f t="shared" ca="1" si="27"/>
        <v>4.8465704271736616</v>
      </c>
      <c r="K42" s="315">
        <f t="shared" ca="1" si="27"/>
        <v>3.9263750721926711</v>
      </c>
      <c r="L42" s="315">
        <f t="shared" ca="1" si="27"/>
        <v>3.0479011648375005</v>
      </c>
      <c r="M42" s="315">
        <f t="shared" ca="1" si="27"/>
        <v>2.2061858286927358</v>
      </c>
      <c r="N42" s="315">
        <f t="shared" ca="1" si="27"/>
        <v>1.3975729993745745</v>
      </c>
      <c r="O42" s="315">
        <f t="shared" ca="1" si="27"/>
        <v>0.61870743736495548</v>
      </c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05"/>
      <c r="AG42" s="305"/>
      <c r="AH42" s="305"/>
      <c r="AI42" s="305"/>
      <c r="AJ42" s="305"/>
      <c r="AK42" s="305"/>
      <c r="AL42" s="305"/>
      <c r="AM42" s="305"/>
      <c r="AN42" s="305"/>
      <c r="AO42" s="305"/>
      <c r="AP42" s="305"/>
      <c r="AQ42" s="305"/>
      <c r="AR42" s="305"/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305"/>
      <c r="BD42" s="305"/>
      <c r="BE42" s="305"/>
      <c r="BF42" s="305"/>
      <c r="BG42" s="305"/>
      <c r="BH42" s="305"/>
      <c r="BI42" s="305"/>
      <c r="BJ42" s="305"/>
      <c r="BK42" s="305"/>
      <c r="BL42" s="305"/>
      <c r="BM42" s="305"/>
      <c r="BN42" s="305"/>
      <c r="BO42" s="305"/>
      <c r="BP42" s="305"/>
      <c r="BQ42" s="305"/>
      <c r="BR42" s="305"/>
      <c r="BS42" s="305"/>
      <c r="BT42" s="305"/>
      <c r="BU42" s="305"/>
      <c r="BV42" s="305"/>
      <c r="BW42" s="305"/>
      <c r="BX42" s="305"/>
      <c r="BY42" s="305"/>
      <c r="BZ42" s="305"/>
      <c r="CA42" s="305"/>
      <c r="CB42" s="305"/>
      <c r="CC42" s="305"/>
      <c r="CD42" s="305"/>
      <c r="CE42" s="305"/>
      <c r="CF42" s="305"/>
      <c r="CG42" s="305"/>
      <c r="CH42" s="305"/>
      <c r="CI42" s="305"/>
      <c r="CJ42" s="305"/>
      <c r="CK42" s="305"/>
      <c r="CL42" s="305"/>
      <c r="CM42" s="305"/>
      <c r="CN42" s="305"/>
      <c r="CO42" s="305"/>
      <c r="CP42" s="305"/>
      <c r="CQ42" s="305"/>
      <c r="CR42" s="305"/>
      <c r="CS42" s="314" t="e">
        <f>CS9/CS23</f>
        <v>#DIV/0!</v>
      </c>
      <c r="CT42" s="315" t="e">
        <f t="shared" ref="CT42:CZ42" si="28">CT9/CT23</f>
        <v>#DIV/0!</v>
      </c>
      <c r="CU42" s="315" t="e">
        <f t="shared" si="28"/>
        <v>#DIV/0!</v>
      </c>
      <c r="CV42" s="315" t="e">
        <f t="shared" si="28"/>
        <v>#DIV/0!</v>
      </c>
      <c r="CW42" s="315" t="e">
        <f t="shared" si="28"/>
        <v>#DIV/0!</v>
      </c>
      <c r="CX42" s="315" t="e">
        <f t="shared" si="28"/>
        <v>#DIV/0!</v>
      </c>
      <c r="CY42" s="315" t="e">
        <f t="shared" si="28"/>
        <v>#DIV/0!</v>
      </c>
      <c r="CZ42" s="315" t="e">
        <f t="shared" si="28"/>
        <v>#DIV/0!</v>
      </c>
    </row>
    <row r="43" spans="1:104">
      <c r="A43" s="304"/>
      <c r="B43" s="305"/>
      <c r="C43" s="305" t="s">
        <v>215</v>
      </c>
      <c r="D43" s="305"/>
      <c r="E43" s="305"/>
      <c r="F43" s="305"/>
      <c r="G43" s="305"/>
      <c r="H43" s="314">
        <f ca="1">H11/H23</f>
        <v>9.732683933493659</v>
      </c>
      <c r="I43" s="315">
        <f ca="1">I11/I23</f>
        <v>8.5185635933882562</v>
      </c>
      <c r="J43" s="315">
        <f t="shared" ref="J43:O43" ca="1" si="29">J11/J23</f>
        <v>7.2919003511720302</v>
      </c>
      <c r="K43" s="315">
        <f t="shared" ca="1" si="29"/>
        <v>6.1811796208002372</v>
      </c>
      <c r="L43" s="315">
        <f t="shared" ca="1" si="29"/>
        <v>5.1313704174546082</v>
      </c>
      <c r="M43" s="315">
        <f t="shared" ca="1" si="29"/>
        <v>4.1352243336480266</v>
      </c>
      <c r="N43" s="315">
        <f t="shared" ca="1" si="29"/>
        <v>3.1871158342508821</v>
      </c>
      <c r="O43" s="315">
        <f t="shared" ca="1" si="29"/>
        <v>2.2819863401617044</v>
      </c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305"/>
      <c r="BD43" s="305"/>
      <c r="BE43" s="305"/>
      <c r="BF43" s="305"/>
      <c r="BG43" s="305"/>
      <c r="BH43" s="305"/>
      <c r="BI43" s="305"/>
      <c r="BJ43" s="305"/>
      <c r="BK43" s="305"/>
      <c r="BL43" s="305"/>
      <c r="BM43" s="305"/>
      <c r="BN43" s="305"/>
      <c r="BO43" s="305"/>
      <c r="BP43" s="305"/>
      <c r="BQ43" s="305"/>
      <c r="BR43" s="305"/>
      <c r="BS43" s="305"/>
      <c r="BT43" s="305"/>
      <c r="BU43" s="305"/>
      <c r="BV43" s="305"/>
      <c r="BW43" s="305"/>
      <c r="BX43" s="305"/>
      <c r="BY43" s="305"/>
      <c r="BZ43" s="305"/>
      <c r="CA43" s="305"/>
      <c r="CB43" s="305"/>
      <c r="CC43" s="305"/>
      <c r="CD43" s="305"/>
      <c r="CE43" s="305"/>
      <c r="CF43" s="305"/>
      <c r="CG43" s="305"/>
      <c r="CH43" s="305"/>
      <c r="CI43" s="305"/>
      <c r="CJ43" s="305"/>
      <c r="CK43" s="305"/>
      <c r="CL43" s="305"/>
      <c r="CM43" s="305"/>
      <c r="CN43" s="305"/>
      <c r="CO43" s="305"/>
      <c r="CP43" s="305"/>
      <c r="CQ43" s="305"/>
      <c r="CR43" s="305"/>
      <c r="CS43" s="314" t="e">
        <f>CS11/CS23</f>
        <v>#DIV/0!</v>
      </c>
      <c r="CT43" s="315" t="e">
        <f t="shared" ref="CT43:CZ43" si="30">CT11/CT23</f>
        <v>#DIV/0!</v>
      </c>
      <c r="CU43" s="315" t="e">
        <f t="shared" si="30"/>
        <v>#DIV/0!</v>
      </c>
      <c r="CV43" s="315" t="e">
        <f t="shared" si="30"/>
        <v>#DIV/0!</v>
      </c>
      <c r="CW43" s="315" t="e">
        <f t="shared" si="30"/>
        <v>#DIV/0!</v>
      </c>
      <c r="CX43" s="315" t="e">
        <f t="shared" si="30"/>
        <v>#DIV/0!</v>
      </c>
      <c r="CY43" s="315" t="e">
        <f t="shared" si="30"/>
        <v>#DIV/0!</v>
      </c>
      <c r="CZ43" s="315" t="e">
        <f t="shared" si="30"/>
        <v>#DIV/0!</v>
      </c>
    </row>
    <row r="44" spans="1:104">
      <c r="A44" s="304"/>
      <c r="B44" s="305"/>
      <c r="C44" s="305" t="s">
        <v>216</v>
      </c>
      <c r="D44" s="305"/>
      <c r="E44" s="305"/>
      <c r="F44" s="305"/>
      <c r="G44" s="305"/>
      <c r="H44" s="314">
        <f ca="1">H13/H23</f>
        <v>9.714651424486421</v>
      </c>
      <c r="I44" s="315">
        <f t="shared" ref="I44:O44" ca="1" si="31">I13/I23</f>
        <v>8.534864465589326</v>
      </c>
      <c r="J44" s="315">
        <f t="shared" ca="1" si="31"/>
        <v>7.3068213056693549</v>
      </c>
      <c r="K44" s="315">
        <f t="shared" ca="1" si="31"/>
        <v>6.1949380244168442</v>
      </c>
      <c r="L44" s="315">
        <f t="shared" ca="1" si="31"/>
        <v>5.1440833645337669</v>
      </c>
      <c r="M44" s="315">
        <f t="shared" ca="1" si="31"/>
        <v>4.1469949726417878</v>
      </c>
      <c r="N44" s="315">
        <f ca="1">N13/N23</f>
        <v>3.1980352962621854</v>
      </c>
      <c r="O44" s="315">
        <f t="shared" ca="1" si="31"/>
        <v>2.292135362827902</v>
      </c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  <c r="AK44" s="305"/>
      <c r="AL44" s="305"/>
      <c r="AM44" s="305"/>
      <c r="AN44" s="305"/>
      <c r="AO44" s="305"/>
      <c r="AP44" s="305"/>
      <c r="AQ44" s="305"/>
      <c r="AR44" s="305"/>
      <c r="AS44" s="305"/>
      <c r="AT44" s="305"/>
      <c r="AU44" s="305"/>
      <c r="AV44" s="305"/>
      <c r="AW44" s="305"/>
      <c r="AX44" s="305"/>
      <c r="AY44" s="305"/>
      <c r="AZ44" s="305"/>
      <c r="BA44" s="305"/>
      <c r="BB44" s="305"/>
      <c r="BC44" s="305"/>
      <c r="BD44" s="305"/>
      <c r="BE44" s="305"/>
      <c r="BF44" s="305"/>
      <c r="BG44" s="305"/>
      <c r="BH44" s="305"/>
      <c r="BI44" s="305"/>
      <c r="BJ44" s="305"/>
      <c r="BK44" s="305"/>
      <c r="BL44" s="305"/>
      <c r="BM44" s="305"/>
      <c r="BN44" s="305"/>
      <c r="BO44" s="305"/>
      <c r="BP44" s="305"/>
      <c r="BQ44" s="305"/>
      <c r="BR44" s="305"/>
      <c r="BS44" s="305"/>
      <c r="BT44" s="305"/>
      <c r="BU44" s="305"/>
      <c r="BV44" s="305"/>
      <c r="BW44" s="305"/>
      <c r="BX44" s="305"/>
      <c r="BY44" s="305"/>
      <c r="BZ44" s="305"/>
      <c r="CA44" s="305"/>
      <c r="CB44" s="305"/>
      <c r="CC44" s="305"/>
      <c r="CD44" s="305"/>
      <c r="CE44" s="305"/>
      <c r="CF44" s="305"/>
      <c r="CG44" s="305"/>
      <c r="CH44" s="305"/>
      <c r="CI44" s="305"/>
      <c r="CJ44" s="305"/>
      <c r="CK44" s="305"/>
      <c r="CL44" s="305"/>
      <c r="CM44" s="305"/>
      <c r="CN44" s="305"/>
      <c r="CO44" s="305"/>
      <c r="CP44" s="305"/>
      <c r="CQ44" s="305"/>
      <c r="CR44" s="305"/>
      <c r="CS44" s="314" t="e">
        <f>CS13/CS23</f>
        <v>#DIV/0!</v>
      </c>
      <c r="CT44" s="315" t="e">
        <f t="shared" ref="CT44:CZ44" si="32">CT13/CT23</f>
        <v>#DIV/0!</v>
      </c>
      <c r="CU44" s="315" t="e">
        <f t="shared" si="32"/>
        <v>#DIV/0!</v>
      </c>
      <c r="CV44" s="315" t="e">
        <f t="shared" si="32"/>
        <v>#DIV/0!</v>
      </c>
      <c r="CW44" s="315" t="e">
        <f t="shared" si="32"/>
        <v>#DIV/0!</v>
      </c>
      <c r="CX44" s="315" t="e">
        <f t="shared" si="32"/>
        <v>#DIV/0!</v>
      </c>
      <c r="CY44" s="315" t="e">
        <f t="shared" si="32"/>
        <v>#DIV/0!</v>
      </c>
      <c r="CZ44" s="315" t="e">
        <f t="shared" si="32"/>
        <v>#DIV/0!</v>
      </c>
    </row>
    <row r="45" spans="1:104" ht="7" customHeight="1">
      <c r="A45" s="304"/>
      <c r="B45" s="305"/>
      <c r="C45" s="305"/>
      <c r="D45" s="305"/>
      <c r="E45" s="305"/>
      <c r="F45" s="305"/>
      <c r="G45" s="305"/>
      <c r="H45" s="314"/>
      <c r="I45" s="315"/>
      <c r="J45" s="315"/>
      <c r="K45" s="315"/>
      <c r="L45" s="315"/>
      <c r="M45" s="315"/>
      <c r="N45" s="315"/>
      <c r="O45" s="31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  <c r="BI45" s="305"/>
      <c r="BJ45" s="305"/>
      <c r="BK45" s="305"/>
      <c r="BL45" s="305"/>
      <c r="BM45" s="305"/>
      <c r="BN45" s="305"/>
      <c r="BO45" s="305"/>
      <c r="BP45" s="305"/>
      <c r="BQ45" s="305"/>
      <c r="BR45" s="305"/>
      <c r="BS45" s="305"/>
      <c r="BT45" s="305"/>
      <c r="BU45" s="305"/>
      <c r="BV45" s="305"/>
      <c r="BW45" s="305"/>
      <c r="BX45" s="305"/>
      <c r="BY45" s="305"/>
      <c r="BZ45" s="305"/>
      <c r="CA45" s="305"/>
      <c r="CB45" s="305"/>
      <c r="CC45" s="305"/>
      <c r="CD45" s="305"/>
      <c r="CE45" s="305"/>
      <c r="CF45" s="305"/>
      <c r="CG45" s="305"/>
      <c r="CH45" s="305"/>
      <c r="CI45" s="305"/>
      <c r="CJ45" s="305"/>
      <c r="CK45" s="305"/>
      <c r="CL45" s="305"/>
      <c r="CM45" s="305"/>
      <c r="CN45" s="305"/>
      <c r="CO45" s="305"/>
      <c r="CP45" s="305"/>
      <c r="CQ45" s="305"/>
      <c r="CR45" s="305"/>
      <c r="CS45" s="305"/>
      <c r="CT45" s="305"/>
      <c r="CU45" s="305"/>
      <c r="CV45" s="305"/>
      <c r="CW45" s="305"/>
      <c r="CX45" s="305"/>
      <c r="CY45" s="305"/>
      <c r="CZ45" s="305"/>
    </row>
    <row r="46" spans="1:104">
      <c r="A46" s="304" t="s">
        <v>26</v>
      </c>
      <c r="B46" s="305" t="s">
        <v>67</v>
      </c>
      <c r="C46" s="305"/>
      <c r="D46" s="305"/>
      <c r="E46" s="305"/>
      <c r="F46" s="305"/>
      <c r="G46" s="305"/>
      <c r="H46" s="308"/>
      <c r="I46" s="169">
        <f ca="1">($H$9-I9)/$H$9</f>
        <v>4.5621503885533085E-2</v>
      </c>
      <c r="J46" s="169">
        <f ca="1">($H$9-J9)/$H$9</f>
        <v>0.13576867669490719</v>
      </c>
      <c r="K46" s="169">
        <f ca="1">($H$9-K9)/$H$9</f>
        <v>0.24069577072911233</v>
      </c>
      <c r="L46" s="169">
        <f ca="1">($H$9-L9)/$H$9</f>
        <v>0.36210863739459143</v>
      </c>
      <c r="M46" s="169">
        <f t="shared" ref="M46:N46" ca="1" si="33">($H$9-M9)/$H$9</f>
        <v>0.50130601343773418</v>
      </c>
      <c r="N46" s="169">
        <f t="shared" ca="1" si="33"/>
        <v>0.65946218843972237</v>
      </c>
      <c r="O46" s="169">
        <f ca="1">($H$9-O9)/$H$9</f>
        <v>0.83779912413256663</v>
      </c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M46" s="305"/>
      <c r="AN46" s="305"/>
      <c r="AO46" s="305"/>
      <c r="AP46" s="305"/>
      <c r="AQ46" s="305"/>
      <c r="AR46" s="305"/>
      <c r="AS46" s="305"/>
      <c r="AT46" s="305"/>
      <c r="AU46" s="305"/>
      <c r="AV46" s="305"/>
      <c r="AW46" s="305"/>
      <c r="AX46" s="305"/>
      <c r="AY46" s="305"/>
      <c r="AZ46" s="305"/>
      <c r="BA46" s="305"/>
      <c r="BB46" s="305"/>
      <c r="BC46" s="305"/>
      <c r="BD46" s="305"/>
      <c r="BE46" s="305"/>
      <c r="BF46" s="305"/>
      <c r="BG46" s="305"/>
      <c r="BH46" s="305"/>
      <c r="BI46" s="305"/>
      <c r="BJ46" s="305"/>
      <c r="BK46" s="305"/>
      <c r="BL46" s="305"/>
      <c r="BM46" s="305"/>
      <c r="BN46" s="305"/>
      <c r="BO46" s="305"/>
      <c r="BP46" s="305"/>
      <c r="BQ46" s="305"/>
      <c r="BR46" s="305"/>
      <c r="BS46" s="305"/>
      <c r="BT46" s="305"/>
      <c r="BU46" s="305"/>
      <c r="BV46" s="305"/>
      <c r="BW46" s="305"/>
      <c r="BX46" s="305"/>
      <c r="BY46" s="305"/>
      <c r="BZ46" s="305"/>
      <c r="CA46" s="305"/>
      <c r="CB46" s="305"/>
      <c r="CC46" s="305"/>
      <c r="CD46" s="305"/>
      <c r="CE46" s="305"/>
      <c r="CF46" s="305"/>
      <c r="CG46" s="305"/>
      <c r="CH46" s="305"/>
      <c r="CI46" s="305"/>
      <c r="CJ46" s="305"/>
      <c r="CK46" s="305"/>
      <c r="CL46" s="305"/>
      <c r="CM46" s="305"/>
      <c r="CN46" s="305"/>
      <c r="CO46" s="305"/>
      <c r="CP46" s="305"/>
      <c r="CQ46" s="305"/>
      <c r="CR46" s="305"/>
      <c r="CS46" s="305"/>
      <c r="CT46" s="305"/>
      <c r="CU46" s="305"/>
      <c r="CV46" s="305"/>
      <c r="CW46" s="305"/>
      <c r="CX46" s="305"/>
      <c r="CY46" s="305"/>
      <c r="CZ46" s="305"/>
    </row>
    <row r="47" spans="1:104" ht="7" customHeight="1">
      <c r="A47" s="304"/>
      <c r="B47" s="305"/>
      <c r="C47" s="305"/>
      <c r="D47" s="305"/>
      <c r="E47" s="305"/>
      <c r="F47" s="305"/>
      <c r="G47" s="305"/>
      <c r="H47" s="322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5"/>
      <c r="BH47" s="305"/>
      <c r="BI47" s="305"/>
      <c r="BJ47" s="305"/>
      <c r="BK47" s="305"/>
      <c r="BL47" s="305"/>
      <c r="BM47" s="305"/>
      <c r="BN47" s="305"/>
      <c r="BO47" s="305"/>
      <c r="BP47" s="305"/>
      <c r="BQ47" s="305"/>
      <c r="BR47" s="305"/>
      <c r="BS47" s="305"/>
      <c r="BT47" s="305"/>
      <c r="BU47" s="305"/>
      <c r="BV47" s="305"/>
      <c r="BW47" s="305"/>
      <c r="BX47" s="305"/>
      <c r="BY47" s="305"/>
      <c r="BZ47" s="305"/>
      <c r="CA47" s="305"/>
      <c r="CB47" s="305"/>
      <c r="CC47" s="305"/>
      <c r="CD47" s="305"/>
      <c r="CE47" s="305"/>
      <c r="CF47" s="305"/>
      <c r="CG47" s="305"/>
      <c r="CH47" s="305"/>
      <c r="CI47" s="305"/>
      <c r="CJ47" s="305"/>
      <c r="CK47" s="305"/>
      <c r="CL47" s="305"/>
      <c r="CM47" s="305"/>
      <c r="CN47" s="305"/>
      <c r="CO47" s="305"/>
      <c r="CP47" s="305"/>
      <c r="CQ47" s="305"/>
      <c r="CR47" s="305"/>
      <c r="CS47" s="305"/>
      <c r="CT47" s="305"/>
      <c r="CU47" s="305"/>
      <c r="CV47" s="305"/>
      <c r="CW47" s="305"/>
      <c r="CX47" s="305"/>
      <c r="CY47" s="305"/>
      <c r="CZ47" s="305"/>
    </row>
    <row r="48" spans="1:104">
      <c r="A48" s="304"/>
      <c r="B48" s="115" t="s">
        <v>217</v>
      </c>
      <c r="C48" s="116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5"/>
      <c r="AJ48" s="305"/>
      <c r="AK48" s="305"/>
      <c r="AL48" s="305"/>
      <c r="AM48" s="305"/>
      <c r="AN48" s="305"/>
      <c r="AO48" s="305"/>
      <c r="AP48" s="305"/>
      <c r="AQ48" s="305"/>
      <c r="AR48" s="305"/>
      <c r="AS48" s="305"/>
      <c r="AT48" s="305"/>
      <c r="AU48" s="305"/>
      <c r="AV48" s="305"/>
      <c r="AW48" s="305"/>
      <c r="AX48" s="305"/>
      <c r="AY48" s="305"/>
      <c r="AZ48" s="305"/>
      <c r="BA48" s="305"/>
      <c r="BB48" s="305"/>
      <c r="BC48" s="305"/>
      <c r="BD48" s="305"/>
      <c r="BE48" s="305"/>
      <c r="BF48" s="305"/>
      <c r="BG48" s="305"/>
      <c r="BH48" s="305"/>
      <c r="BI48" s="305"/>
      <c r="BJ48" s="305"/>
      <c r="BK48" s="305"/>
      <c r="BL48" s="305"/>
      <c r="BM48" s="305"/>
      <c r="BN48" s="305"/>
      <c r="BO48" s="305"/>
      <c r="BP48" s="305"/>
      <c r="BQ48" s="305"/>
      <c r="BR48" s="305"/>
      <c r="BS48" s="305"/>
      <c r="BT48" s="305"/>
      <c r="BU48" s="305"/>
      <c r="BV48" s="305"/>
      <c r="BW48" s="305"/>
      <c r="BX48" s="305"/>
      <c r="BY48" s="305"/>
      <c r="BZ48" s="305"/>
      <c r="CA48" s="305"/>
      <c r="CB48" s="305"/>
      <c r="CC48" s="305"/>
      <c r="CD48" s="305"/>
      <c r="CE48" s="305"/>
      <c r="CF48" s="305"/>
      <c r="CG48" s="305"/>
      <c r="CH48" s="305"/>
      <c r="CI48" s="305"/>
      <c r="CJ48" s="305"/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5"/>
    </row>
    <row r="50" spans="8:15">
      <c r="H50" s="323"/>
      <c r="I50" s="305"/>
      <c r="J50" s="305"/>
      <c r="K50" s="305"/>
      <c r="L50" s="305"/>
      <c r="M50" s="305"/>
      <c r="N50" s="305"/>
      <c r="O50" s="305"/>
    </row>
    <row r="51" spans="8:15">
      <c r="H51" s="323"/>
      <c r="I51" s="305"/>
      <c r="J51" s="305"/>
      <c r="K51" s="305"/>
      <c r="L51" s="305"/>
      <c r="M51" s="305"/>
      <c r="N51" s="305"/>
      <c r="O51" s="305"/>
    </row>
    <row r="53" spans="8:15">
      <c r="H53" s="305"/>
      <c r="I53" s="324"/>
      <c r="J53" s="324"/>
      <c r="K53" s="324"/>
      <c r="L53" s="324"/>
      <c r="M53" s="324"/>
      <c r="N53" s="324"/>
      <c r="O53" s="324"/>
    </row>
  </sheetData>
  <phoneticPr fontId="6" type="noConversion"/>
  <printOptions horizontalCentered="1"/>
  <pageMargins left="0.75" right="0.75" top="0.75" bottom="0.75" header="0.5" footer="0.25"/>
  <pageSetup scale="97" orientation="landscape" r:id="rId1"/>
  <headerFooter alignWithMargins="0">
    <oddHeader>&amp;R&amp;8Training The Street, Inc.
&amp;D &amp;T</oddHeader>
    <oddFooter>&amp;L&amp;8COPYRIGHT 2014 © by Training The Street, Inc&amp;C&amp;8&amp;G&amp;R&amp;8For training purposes only!</oddFooter>
  </headerFooter>
  <ignoredErrors>
    <ignoredError sqref="H24" evalError="1"/>
  </ignoredErrors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2"/>
  <sheetViews>
    <sheetView showGridLines="0" zoomScaleNormal="100" workbookViewId="0"/>
  </sheetViews>
  <sheetFormatPr baseColWidth="10" defaultColWidth="9.1640625" defaultRowHeight="13" outlineLevelRow="1"/>
  <cols>
    <col min="1" max="1" width="1.83203125" style="112" customWidth="1"/>
    <col min="2" max="3" width="2.1640625" style="107" customWidth="1"/>
    <col min="4" max="16" width="9.1640625" style="107" customWidth="1"/>
    <col min="17" max="17" width="9.1640625" style="107" bestFit="1" customWidth="1"/>
    <col min="18" max="16384" width="9.1640625" style="107"/>
  </cols>
  <sheetData>
    <row r="1" spans="1:17" ht="18">
      <c r="A1" s="304"/>
      <c r="B1" s="99" t="str">
        <f>'S&amp;U and Opening BS'!$B$17</f>
        <v>Leveraged Buyout for Brady Coporation</v>
      </c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</row>
    <row r="2" spans="1:17" ht="17" thickBot="1">
      <c r="A2" s="304"/>
      <c r="B2" s="108" t="s">
        <v>218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109"/>
      <c r="N2" s="109" t="s">
        <v>28</v>
      </c>
      <c r="O2" s="110">
        <f>FYE</f>
        <v>45869</v>
      </c>
      <c r="P2" s="305"/>
      <c r="Q2" s="305"/>
    </row>
    <row r="3" spans="1:17">
      <c r="A3" s="304"/>
      <c r="B3" s="146" t="s">
        <v>219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</row>
    <row r="5" spans="1:17">
      <c r="A5" s="304"/>
      <c r="B5" s="117" t="s">
        <v>220</v>
      </c>
      <c r="C5" s="117"/>
      <c r="D5" s="117"/>
      <c r="E5" s="117"/>
      <c r="F5" s="162">
        <f ca="1">'S&amp;U and Opening BS'!H28</f>
        <v>2253.4273166643238</v>
      </c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</row>
    <row r="6" spans="1:17">
      <c r="A6" s="304"/>
      <c r="B6" s="117" t="s">
        <v>221</v>
      </c>
      <c r="C6" s="305"/>
      <c r="D6" s="305"/>
      <c r="E6" s="305"/>
      <c r="F6" s="118">
        <f>'S&amp;U and Opening BS'!K28</f>
        <v>1</v>
      </c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</row>
    <row r="7" spans="1:17">
      <c r="A7" s="304"/>
      <c r="B7" s="305"/>
      <c r="C7" s="305"/>
      <c r="D7" s="305"/>
      <c r="E7" s="305"/>
      <c r="F7" s="305"/>
      <c r="G7" s="305"/>
      <c r="H7"/>
      <c r="I7" s="119" t="s">
        <v>142</v>
      </c>
      <c r="J7" s="325"/>
      <c r="K7" s="325"/>
      <c r="L7" s="325"/>
      <c r="M7" s="325"/>
      <c r="N7" s="325"/>
      <c r="O7" s="325"/>
      <c r="P7" s="305"/>
      <c r="Q7" s="305"/>
    </row>
    <row r="8" spans="1:17">
      <c r="A8" s="304"/>
      <c r="B8" s="305"/>
      <c r="C8" s="305"/>
      <c r="D8" s="305"/>
      <c r="E8" s="305"/>
      <c r="F8" s="305"/>
      <c r="G8" s="305"/>
      <c r="H8"/>
      <c r="I8" s="289">
        <f>YEAR(FYE)+1</f>
        <v>2026</v>
      </c>
      <c r="J8" s="289">
        <f t="shared" ref="J8:O8" si="0">I8+1</f>
        <v>2027</v>
      </c>
      <c r="K8" s="289">
        <f t="shared" si="0"/>
        <v>2028</v>
      </c>
      <c r="L8" s="289">
        <f t="shared" si="0"/>
        <v>2029</v>
      </c>
      <c r="M8" s="289">
        <f t="shared" si="0"/>
        <v>2030</v>
      </c>
      <c r="N8" s="289">
        <f t="shared" si="0"/>
        <v>2031</v>
      </c>
      <c r="O8" s="289">
        <f t="shared" si="0"/>
        <v>2032</v>
      </c>
      <c r="P8" s="305"/>
      <c r="Q8" s="111"/>
    </row>
    <row r="9" spans="1:17">
      <c r="A9" s="304"/>
      <c r="B9" s="305"/>
      <c r="C9" s="305"/>
      <c r="D9" s="305"/>
      <c r="E9" s="305"/>
      <c r="F9" s="305"/>
      <c r="G9" s="305"/>
      <c r="H9"/>
      <c r="I9" s="326">
        <v>1</v>
      </c>
      <c r="J9" s="326">
        <f t="shared" ref="J9:O9" si="1">I9+1</f>
        <v>2</v>
      </c>
      <c r="K9" s="326">
        <f t="shared" si="1"/>
        <v>3</v>
      </c>
      <c r="L9" s="326">
        <f t="shared" si="1"/>
        <v>4</v>
      </c>
      <c r="M9" s="326">
        <f t="shared" si="1"/>
        <v>5</v>
      </c>
      <c r="N9" s="326">
        <f t="shared" si="1"/>
        <v>6</v>
      </c>
      <c r="O9" s="326">
        <f t="shared" si="1"/>
        <v>7</v>
      </c>
      <c r="P9" s="305"/>
      <c r="Q9" s="305"/>
    </row>
    <row r="10" spans="1:17">
      <c r="A10" s="304" t="s">
        <v>26</v>
      </c>
      <c r="B10" s="305" t="s">
        <v>51</v>
      </c>
      <c r="C10" s="305"/>
      <c r="D10" s="305"/>
      <c r="E10" s="305"/>
      <c r="F10" s="305"/>
      <c r="G10" s="305"/>
      <c r="H10" s="305"/>
      <c r="I10" s="310">
        <f>Ratios!I23</f>
        <v>306.73205325000015</v>
      </c>
      <c r="J10" s="310">
        <f>Ratios!J23</f>
        <v>335.0992056772501</v>
      </c>
      <c r="K10" s="310">
        <f>Ratios!K23</f>
        <v>363.41425497686413</v>
      </c>
      <c r="L10" s="310">
        <f>Ratios!L23</f>
        <v>393.29983589695667</v>
      </c>
      <c r="M10" s="310">
        <f>Ratios!M23</f>
        <v>424.78577438746095</v>
      </c>
      <c r="N10" s="310">
        <f>Ratios!N23</f>
        <v>457.89801684590685</v>
      </c>
      <c r="O10" s="310">
        <f>Ratios!O23</f>
        <v>492.6582750330216</v>
      </c>
      <c r="P10" s="305"/>
      <c r="Q10" s="305"/>
    </row>
    <row r="12" spans="1:17">
      <c r="A12" s="304"/>
      <c r="B12" s="305" t="s">
        <v>222</v>
      </c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156" t="s">
        <v>138</v>
      </c>
    </row>
    <row r="13" spans="1:17">
      <c r="A13" s="304"/>
      <c r="B13" s="305"/>
      <c r="C13" s="305"/>
      <c r="D13" s="305"/>
      <c r="E13" s="305"/>
      <c r="F13" s="305"/>
      <c r="G13" s="315">
        <f>G14-Q13</f>
        <v>16.923565701410503</v>
      </c>
      <c r="H13" s="305"/>
      <c r="I13" s="327">
        <f>$G13*I$10</f>
        <v>5191.0000559049222</v>
      </c>
      <c r="J13" s="327">
        <f t="shared" ref="J13:O15" si="2">$G13*J$10</f>
        <v>5671.0734237694132</v>
      </c>
      <c r="K13" s="327">
        <f t="shared" si="2"/>
        <v>6150.2650209301091</v>
      </c>
      <c r="L13" s="327">
        <f t="shared" si="2"/>
        <v>6656.0356131561148</v>
      </c>
      <c r="M13" s="327">
        <f t="shared" si="2"/>
        <v>7188.8899618707346</v>
      </c>
      <c r="N13" s="327">
        <f t="shared" si="2"/>
        <v>7749.2671726372782</v>
      </c>
      <c r="O13" s="327">
        <f t="shared" si="2"/>
        <v>8337.5346858649064</v>
      </c>
      <c r="P13" s="305"/>
      <c r="Q13" s="120">
        <v>0.5</v>
      </c>
    </row>
    <row r="14" spans="1:17">
      <c r="A14" s="304"/>
      <c r="B14" s="305"/>
      <c r="C14" s="305"/>
      <c r="D14" s="305"/>
      <c r="E14" s="305"/>
      <c r="F14" s="305"/>
      <c r="G14" s="328">
        <f>'S&amp;U and Opening BS'!N60</f>
        <v>17.423565701410503</v>
      </c>
      <c r="H14" s="305"/>
      <c r="I14" s="305">
        <f t="shared" ref="I14:I15" si="3">$G14*I$10</f>
        <v>5344.366082529923</v>
      </c>
      <c r="J14" s="305">
        <f t="shared" si="2"/>
        <v>5838.6230266080383</v>
      </c>
      <c r="K14" s="305">
        <f t="shared" si="2"/>
        <v>6331.9721484185411</v>
      </c>
      <c r="L14" s="305">
        <f t="shared" si="2"/>
        <v>6852.6855311045938</v>
      </c>
      <c r="M14" s="305">
        <f t="shared" si="2"/>
        <v>7401.2828490644642</v>
      </c>
      <c r="N14" s="305">
        <f t="shared" si="2"/>
        <v>7978.2161810602311</v>
      </c>
      <c r="O14" s="305">
        <f t="shared" si="2"/>
        <v>8583.8638233814181</v>
      </c>
      <c r="P14" s="305"/>
      <c r="Q14" s="305"/>
    </row>
    <row r="15" spans="1:17">
      <c r="A15" s="304"/>
      <c r="B15" s="305"/>
      <c r="C15" s="305"/>
      <c r="D15" s="305"/>
      <c r="E15" s="305"/>
      <c r="F15" s="305"/>
      <c r="G15" s="315">
        <f>G14+Q13</f>
        <v>17.923565701410503</v>
      </c>
      <c r="H15" s="305"/>
      <c r="I15" s="305">
        <f t="shared" si="3"/>
        <v>5497.7321091549229</v>
      </c>
      <c r="J15" s="305">
        <f t="shared" si="2"/>
        <v>6006.1726294466634</v>
      </c>
      <c r="K15" s="305">
        <f t="shared" si="2"/>
        <v>6513.6792759069731</v>
      </c>
      <c r="L15" s="305">
        <f t="shared" si="2"/>
        <v>7049.3354490530719</v>
      </c>
      <c r="M15" s="305">
        <f t="shared" si="2"/>
        <v>7613.6757362581948</v>
      </c>
      <c r="N15" s="305">
        <f t="shared" si="2"/>
        <v>8207.1651894831848</v>
      </c>
      <c r="O15" s="305">
        <f t="shared" si="2"/>
        <v>8830.1929608979281</v>
      </c>
      <c r="P15" s="305"/>
      <c r="Q15" s="305"/>
    </row>
    <row r="17" spans="1:15">
      <c r="A17" s="304"/>
      <c r="B17" s="305" t="s">
        <v>223</v>
      </c>
      <c r="C17" s="305"/>
      <c r="D17" s="305"/>
      <c r="E17" s="305"/>
      <c r="F17" s="305"/>
      <c r="G17" s="305"/>
      <c r="H17" s="305"/>
      <c r="I17" s="310">
        <f ca="1">-Ratios!I13</f>
        <v>-2617.9165017406795</v>
      </c>
      <c r="J17" s="310">
        <f ca="1">-Ratios!J13</f>
        <v>-2448.5100155554082</v>
      </c>
      <c r="K17" s="310">
        <f ca="1">-Ratios!K13</f>
        <v>-2251.3287867712938</v>
      </c>
      <c r="L17" s="310">
        <f ca="1">-Ratios!L13</f>
        <v>-2023.1671431113953</v>
      </c>
      <c r="M17" s="310">
        <f ca="1">-Ratios!M13</f>
        <v>-1761.5844708345492</v>
      </c>
      <c r="N17" s="310">
        <f ca="1">-Ratios!N13</f>
        <v>-1464.3740199616668</v>
      </c>
      <c r="O17" s="310">
        <f ca="1">-Ratios!O13</f>
        <v>-1129.2394539929833</v>
      </c>
    </row>
    <row r="19" spans="1:15">
      <c r="A19" s="304" t="s">
        <v>26</v>
      </c>
      <c r="B19" s="305" t="s">
        <v>224</v>
      </c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</row>
    <row r="20" spans="1:15">
      <c r="A20" s="304"/>
      <c r="B20" s="305"/>
      <c r="C20" s="305"/>
      <c r="D20" s="305"/>
      <c r="E20" s="305"/>
      <c r="F20" s="305"/>
      <c r="G20" s="315">
        <f>G13</f>
        <v>16.923565701410503</v>
      </c>
      <c r="H20" s="305"/>
      <c r="I20" s="327">
        <f t="shared" ref="I20:O20" ca="1" si="4">I13+I$17</f>
        <v>2573.0835541642427</v>
      </c>
      <c r="J20" s="327">
        <f t="shared" ca="1" si="4"/>
        <v>3222.563408214005</v>
      </c>
      <c r="K20" s="327">
        <f t="shared" ca="1" si="4"/>
        <v>3898.9362341588153</v>
      </c>
      <c r="L20" s="327">
        <f t="shared" ca="1" si="4"/>
        <v>4632.8684700447193</v>
      </c>
      <c r="M20" s="327">
        <f t="shared" ca="1" si="4"/>
        <v>5427.3054910361852</v>
      </c>
      <c r="N20" s="327">
        <f t="shared" ca="1" si="4"/>
        <v>6284.8931526756114</v>
      </c>
      <c r="O20" s="327">
        <f t="shared" ca="1" si="4"/>
        <v>7208.2952318719235</v>
      </c>
    </row>
    <row r="21" spans="1:15">
      <c r="A21" s="304"/>
      <c r="B21" s="305"/>
      <c r="C21" s="305"/>
      <c r="D21" s="305"/>
      <c r="E21" s="305"/>
      <c r="F21" s="305"/>
      <c r="G21" s="315">
        <f>G14</f>
        <v>17.423565701410503</v>
      </c>
      <c r="H21" s="305"/>
      <c r="I21" s="305">
        <f t="shared" ref="I21:O22" ca="1" si="5">I14+I$17</f>
        <v>2726.4495807892436</v>
      </c>
      <c r="J21" s="305">
        <f ca="1">J14+J$17</f>
        <v>3390.1130110526301</v>
      </c>
      <c r="K21" s="305">
        <f t="shared" ca="1" si="5"/>
        <v>4080.6433616472473</v>
      </c>
      <c r="L21" s="305">
        <f t="shared" ca="1" si="5"/>
        <v>4829.5183879931983</v>
      </c>
      <c r="M21" s="305">
        <f t="shared" ca="1" si="5"/>
        <v>5639.6983782299149</v>
      </c>
      <c r="N21" s="305">
        <f t="shared" ca="1" si="5"/>
        <v>6513.8421610985642</v>
      </c>
      <c r="O21" s="305">
        <f t="shared" ca="1" si="5"/>
        <v>7454.6243693884353</v>
      </c>
    </row>
    <row r="22" spans="1:15">
      <c r="A22" s="304"/>
      <c r="B22" s="305"/>
      <c r="C22" s="305"/>
      <c r="D22" s="305"/>
      <c r="E22" s="305"/>
      <c r="F22" s="305"/>
      <c r="G22" s="315">
        <f>G15</f>
        <v>17.923565701410503</v>
      </c>
      <c r="H22" s="305"/>
      <c r="I22" s="305">
        <f t="shared" ca="1" si="5"/>
        <v>2879.8156074142435</v>
      </c>
      <c r="J22" s="305">
        <f t="shared" ca="1" si="5"/>
        <v>3557.6626138912552</v>
      </c>
      <c r="K22" s="305">
        <f t="shared" ca="1" si="5"/>
        <v>4262.3504891356788</v>
      </c>
      <c r="L22" s="305">
        <f t="shared" ca="1" si="5"/>
        <v>5026.1683059416764</v>
      </c>
      <c r="M22" s="305">
        <f t="shared" ca="1" si="5"/>
        <v>5852.0912654236454</v>
      </c>
      <c r="N22" s="305">
        <f t="shared" ca="1" si="5"/>
        <v>6742.791169521518</v>
      </c>
      <c r="O22" s="305">
        <f t="shared" ca="1" si="5"/>
        <v>7700.9535069049452</v>
      </c>
    </row>
    <row r="24" spans="1:15">
      <c r="A24" s="304" t="s">
        <v>26</v>
      </c>
      <c r="B24" s="305" t="s">
        <v>225</v>
      </c>
      <c r="C24" s="305"/>
      <c r="D24" s="305"/>
      <c r="E24" s="305"/>
      <c r="F24" s="305"/>
      <c r="G24" s="305"/>
      <c r="H24" s="305"/>
      <c r="I24"/>
      <c r="J24"/>
      <c r="K24"/>
      <c r="L24"/>
      <c r="M24"/>
      <c r="N24"/>
      <c r="O24"/>
    </row>
    <row r="25" spans="1:15">
      <c r="A25" s="304"/>
      <c r="B25" s="305"/>
      <c r="C25" s="305"/>
      <c r="D25" s="305"/>
      <c r="E25" s="305"/>
      <c r="F25" s="305"/>
      <c r="G25" s="315">
        <f>G13</f>
        <v>16.923565701410503</v>
      </c>
      <c r="H25" s="305"/>
      <c r="I25" s="163">
        <f ca="1">RATE(COUNT($I$9:I$9), 0, -$F$5, I$20)</f>
        <v>0.14185336049493516</v>
      </c>
      <c r="J25" s="163">
        <f ca="1">RATE(COUNT($I$9:J$9), 0, -$F$5, J$20)</f>
        <v>0.19585619694142753</v>
      </c>
      <c r="K25" s="163">
        <f ca="1">RATE(COUNT($I$9:K$9), 0, -$F$5, K$20)</f>
        <v>0.20051482079388225</v>
      </c>
      <c r="L25" s="163">
        <f ca="1">RATE(COUNT($I$9:L$9), 0, -$F$5, L$20)</f>
        <v>0.19743405127345903</v>
      </c>
      <c r="M25" s="163">
        <f ca="1">RATE(COUNT($I$9:M$9), 0, -$F$5, M$20)</f>
        <v>0.19219732383399746</v>
      </c>
      <c r="N25" s="163">
        <f ca="1">RATE(COUNT($I$9:N$9), 0, -$F$5, N$20)</f>
        <v>0.18643074029561449</v>
      </c>
      <c r="O25" s="163">
        <f ca="1">RATE(COUNT($I$9:O$9), 0, -$F$5, O$20)</f>
        <v>0.18070468718111021</v>
      </c>
    </row>
    <row r="26" spans="1:15">
      <c r="A26" s="304"/>
      <c r="B26" s="305"/>
      <c r="C26" s="305"/>
      <c r="D26" s="305"/>
      <c r="E26" s="305"/>
      <c r="F26" s="305"/>
      <c r="G26" s="315">
        <f>G14</f>
        <v>17.423565701410503</v>
      </c>
      <c r="H26" s="305"/>
      <c r="I26" s="163">
        <f ca="1">RATE(COUNT($I$9:I$9), 0, -$F$5, I$21)</f>
        <v>0.20991236798581084</v>
      </c>
      <c r="J26" s="163">
        <f ca="1">RATE(COUNT($I$9:J$9), 0, -$F$5, J$21)</f>
        <v>0.22655015193684155</v>
      </c>
      <c r="K26" s="163">
        <f ca="1">RATE(COUNT($I$9:K$9), 0, -$F$5, K$21)</f>
        <v>0.21888208861052597</v>
      </c>
      <c r="L26" s="164">
        <f ca="1">RATE(COUNT($I$9:L$9), 0, -$F$5, L$21)</f>
        <v>0.20994343458802189</v>
      </c>
      <c r="M26" s="165">
        <f ca="1">RATE(COUNT($I$9:M$9), 0, -$F$5, M$21)</f>
        <v>0.20138571754788639</v>
      </c>
      <c r="N26" s="166">
        <f ca="1">RATE(COUNT($I$9:N$9), 0, -$F$5, N$21)</f>
        <v>0.19352708598731141</v>
      </c>
      <c r="O26" s="163">
        <f ca="1">RATE(COUNT($I$9:O$9), 0, -$F$5, O$21)</f>
        <v>0.18638604607916828</v>
      </c>
    </row>
    <row r="27" spans="1:15">
      <c r="A27" s="304"/>
      <c r="B27" s="305"/>
      <c r="C27" s="305"/>
      <c r="D27" s="305"/>
      <c r="E27" s="305"/>
      <c r="F27" s="305"/>
      <c r="G27" s="315">
        <f>G15</f>
        <v>17.923565701410503</v>
      </c>
      <c r="H27" s="305"/>
      <c r="I27" s="163">
        <f ca="1">RATE(COUNT($I$9:I$9), 0, -$F$5, I$22)</f>
        <v>0.27797137547668593</v>
      </c>
      <c r="J27" s="163">
        <f ca="1">RATE(COUNT($I$9:J$9), 0, -$F$5, J$22)</f>
        <v>0.25649453109409182</v>
      </c>
      <c r="K27" s="163">
        <f ca="1">RATE(COUNT($I$9:K$9), 0, -$F$5, K$22)</f>
        <v>0.23671188545947142</v>
      </c>
      <c r="L27" s="163">
        <f ca="1">RATE(COUNT($I$9:L$9), 0, -$F$5, L$22)</f>
        <v>0.22207643040133707</v>
      </c>
      <c r="M27" s="163">
        <f ca="1">RATE(COUNT($I$9:M$9), 0, -$F$5, M$22)</f>
        <v>0.21030132061318041</v>
      </c>
      <c r="N27" s="163">
        <f ca="1">RATE(COUNT($I$9:N$9), 0, -$F$5, N$22)</f>
        <v>0.20041853486063688</v>
      </c>
      <c r="O27" s="163">
        <f ca="1">RATE(COUNT($I$9:O$9), 0, -$F$5, O$22)</f>
        <v>0.19190870713649805</v>
      </c>
    </row>
    <row r="30" spans="1:15" ht="18" hidden="1" customHeight="1" outlineLevel="1">
      <c r="A30" s="304"/>
      <c r="B30" s="99" t="str">
        <f>'S&amp;U and Opening BS'!$B$17</f>
        <v>Leveraged Buyout for Brady Coporation</v>
      </c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05"/>
    </row>
    <row r="31" spans="1:15" ht="17" hidden="1" outlineLevel="1" thickBot="1">
      <c r="A31" s="304"/>
      <c r="B31" s="108" t="s">
        <v>226</v>
      </c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109"/>
      <c r="N31" s="109" t="s">
        <v>28</v>
      </c>
      <c r="O31" s="110">
        <f>FYE</f>
        <v>45869</v>
      </c>
    </row>
    <row r="32" spans="1:15" hidden="1" outlineLevel="1">
      <c r="A32" s="304"/>
      <c r="B32" s="329" t="s">
        <v>219</v>
      </c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</row>
    <row r="33" spans="1:17" hidden="1" outlineLevel="1">
      <c r="A33" s="304"/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</row>
    <row r="34" spans="1:17" hidden="1" outlineLevel="1">
      <c r="A34" s="304"/>
      <c r="B34" s="117" t="s">
        <v>220</v>
      </c>
      <c r="C34" s="117"/>
      <c r="D34" s="117"/>
      <c r="E34" s="117"/>
      <c r="F34" s="162">
        <v>0</v>
      </c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</row>
    <row r="35" spans="1:17" hidden="1" outlineLevel="1">
      <c r="A35" s="304"/>
      <c r="B35" s="117" t="s">
        <v>221</v>
      </c>
      <c r="C35" s="305"/>
      <c r="D35" s="305"/>
      <c r="E35" s="305"/>
      <c r="F35" s="118">
        <v>0</v>
      </c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</row>
    <row r="36" spans="1:17" hidden="1" outlineLevel="1">
      <c r="A36" s="304"/>
      <c r="B36" s="305"/>
      <c r="C36" s="305"/>
      <c r="D36" s="305"/>
      <c r="E36" s="305"/>
      <c r="F36" s="305"/>
      <c r="G36" s="305"/>
      <c r="H36" s="305"/>
      <c r="I36" s="119" t="s">
        <v>142</v>
      </c>
      <c r="J36" s="325"/>
      <c r="K36" s="325"/>
      <c r="L36" s="325"/>
      <c r="M36" s="325"/>
      <c r="N36" s="325"/>
      <c r="O36" s="325"/>
      <c r="P36" s="305"/>
      <c r="Q36" s="305"/>
    </row>
    <row r="37" spans="1:17" hidden="1" outlineLevel="1">
      <c r="A37" s="304"/>
      <c r="B37" s="305"/>
      <c r="C37" s="305"/>
      <c r="D37" s="305"/>
      <c r="E37" s="305"/>
      <c r="F37" s="305"/>
      <c r="G37" s="305"/>
      <c r="H37" s="305"/>
      <c r="I37" s="289">
        <f>YEAR(FYE)+1</f>
        <v>2026</v>
      </c>
      <c r="J37" s="289">
        <f t="shared" ref="J37:O38" si="6">I37+1</f>
        <v>2027</v>
      </c>
      <c r="K37" s="289">
        <f t="shared" si="6"/>
        <v>2028</v>
      </c>
      <c r="L37" s="289">
        <f t="shared" si="6"/>
        <v>2029</v>
      </c>
      <c r="M37" s="289">
        <f t="shared" si="6"/>
        <v>2030</v>
      </c>
      <c r="N37" s="289">
        <f t="shared" si="6"/>
        <v>2031</v>
      </c>
      <c r="O37" s="289">
        <f t="shared" si="6"/>
        <v>2032</v>
      </c>
      <c r="P37" s="305"/>
      <c r="Q37" s="330" t="s">
        <v>227</v>
      </c>
    </row>
    <row r="38" spans="1:17" hidden="1" outlineLevel="1">
      <c r="A38" s="304"/>
      <c r="B38" s="305"/>
      <c r="C38" s="305"/>
      <c r="D38" s="305"/>
      <c r="E38" s="305"/>
      <c r="F38" s="305"/>
      <c r="G38" s="305"/>
      <c r="H38" s="305"/>
      <c r="I38" s="326">
        <v>1</v>
      </c>
      <c r="J38" s="326">
        <f>I38+1</f>
        <v>2</v>
      </c>
      <c r="K38" s="326">
        <f t="shared" si="6"/>
        <v>3</v>
      </c>
      <c r="L38" s="326">
        <f t="shared" si="6"/>
        <v>4</v>
      </c>
      <c r="M38" s="326">
        <f t="shared" si="6"/>
        <v>5</v>
      </c>
      <c r="N38" s="326">
        <f t="shared" si="6"/>
        <v>6</v>
      </c>
      <c r="O38" s="326">
        <f t="shared" si="6"/>
        <v>7</v>
      </c>
      <c r="P38" s="305"/>
      <c r="Q38" s="330" t="str">
        <f>"for "&amp;O37</f>
        <v>for 2032</v>
      </c>
    </row>
    <row r="39" spans="1:17" hidden="1" outlineLevel="1">
      <c r="A39" s="304" t="s">
        <v>26</v>
      </c>
      <c r="B39" s="305" t="s">
        <v>228</v>
      </c>
      <c r="C39" s="305"/>
      <c r="D39" s="305"/>
      <c r="E39" s="305"/>
      <c r="F39" s="305"/>
      <c r="G39" s="305"/>
      <c r="H39" s="305"/>
      <c r="I39" s="310">
        <v>0</v>
      </c>
      <c r="J39" s="310">
        <v>0</v>
      </c>
      <c r="K39" s="310">
        <v>0</v>
      </c>
      <c r="L39" s="310">
        <v>0</v>
      </c>
      <c r="M39" s="310">
        <v>0</v>
      </c>
      <c r="N39" s="310">
        <v>0</v>
      </c>
      <c r="O39" s="167">
        <v>0</v>
      </c>
      <c r="P39" s="305"/>
      <c r="Q39" s="168" t="e">
        <f>N39/M39-1</f>
        <v>#DIV/0!</v>
      </c>
    </row>
    <row r="40" spans="1:17" hidden="1" outlineLevel="1">
      <c r="A40" s="304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</row>
    <row r="41" spans="1:17" hidden="1" outlineLevel="1">
      <c r="A41" s="304" t="s">
        <v>26</v>
      </c>
      <c r="B41" s="305" t="s">
        <v>229</v>
      </c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156" t="s">
        <v>138</v>
      </c>
    </row>
    <row r="42" spans="1:17" hidden="1" outlineLevel="1">
      <c r="A42" s="304"/>
      <c r="B42" s="305"/>
      <c r="C42" s="305"/>
      <c r="D42" s="305"/>
      <c r="E42" s="305"/>
      <c r="F42" s="305"/>
      <c r="G42" s="121">
        <v>19</v>
      </c>
      <c r="H42" s="305"/>
      <c r="I42" s="327">
        <v>0</v>
      </c>
      <c r="J42" s="327">
        <v>0</v>
      </c>
      <c r="K42" s="327">
        <v>0</v>
      </c>
      <c r="L42" s="327">
        <v>0</v>
      </c>
      <c r="M42" s="327">
        <v>0</v>
      </c>
      <c r="N42" s="327">
        <v>0</v>
      </c>
      <c r="O42" s="327">
        <v>0</v>
      </c>
      <c r="P42" s="305"/>
      <c r="Q42" s="120">
        <v>1</v>
      </c>
    </row>
    <row r="43" spans="1:17" hidden="1" outlineLevel="1">
      <c r="A43" s="304"/>
      <c r="B43" s="305"/>
      <c r="C43" s="305"/>
      <c r="D43" s="305"/>
      <c r="E43" s="305"/>
      <c r="F43" s="305"/>
      <c r="G43" s="315">
        <f>G42+$Q$42</f>
        <v>20</v>
      </c>
      <c r="H43" s="305"/>
      <c r="I43" s="305">
        <v>0</v>
      </c>
      <c r="J43" s="305">
        <v>0</v>
      </c>
      <c r="K43" s="305">
        <v>0</v>
      </c>
      <c r="L43" s="305">
        <v>0</v>
      </c>
      <c r="M43" s="305">
        <v>0</v>
      </c>
      <c r="N43" s="305">
        <v>0</v>
      </c>
      <c r="O43" s="305">
        <v>0</v>
      </c>
      <c r="P43" s="305"/>
      <c r="Q43" s="305"/>
    </row>
    <row r="44" spans="1:17" hidden="1" outlineLevel="1">
      <c r="A44" s="304"/>
      <c r="B44" s="305"/>
      <c r="C44" s="305"/>
      <c r="D44" s="305"/>
      <c r="E44" s="305"/>
      <c r="F44" s="305"/>
      <c r="G44" s="315">
        <f>G43+$Q$42</f>
        <v>21</v>
      </c>
      <c r="H44" s="305"/>
      <c r="I44" s="305">
        <v>0</v>
      </c>
      <c r="J44" s="305">
        <v>0</v>
      </c>
      <c r="K44" s="305">
        <v>0</v>
      </c>
      <c r="L44" s="305">
        <v>0</v>
      </c>
      <c r="M44" s="305">
        <v>0</v>
      </c>
      <c r="N44" s="305">
        <v>0</v>
      </c>
      <c r="O44" s="305">
        <v>0</v>
      </c>
      <c r="P44" s="305"/>
      <c r="Q44" s="305"/>
    </row>
    <row r="45" spans="1:17" hidden="1" outlineLevel="1">
      <c r="A45" s="304"/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</row>
    <row r="46" spans="1:17" hidden="1" outlineLevel="1">
      <c r="A46" s="304" t="s">
        <v>26</v>
      </c>
      <c r="B46" s="305" t="s">
        <v>230</v>
      </c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</row>
    <row r="47" spans="1:17" hidden="1" outlineLevel="1">
      <c r="A47" s="304"/>
      <c r="B47" s="305"/>
      <c r="C47" s="305"/>
      <c r="D47" s="305"/>
      <c r="E47" s="305"/>
      <c r="F47" s="305"/>
      <c r="G47" s="315">
        <f>G42</f>
        <v>19</v>
      </c>
      <c r="H47" s="305"/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05"/>
      <c r="Q47" s="305"/>
    </row>
    <row r="48" spans="1:17" hidden="1" outlineLevel="1">
      <c r="A48" s="304"/>
      <c r="B48" s="305"/>
      <c r="C48" s="305"/>
      <c r="D48" s="305"/>
      <c r="E48" s="305"/>
      <c r="F48" s="305"/>
      <c r="G48" s="315">
        <f>G43</f>
        <v>20</v>
      </c>
      <c r="H48" s="305"/>
      <c r="I48" s="163">
        <v>0</v>
      </c>
      <c r="J48" s="163">
        <v>0</v>
      </c>
      <c r="K48" s="163">
        <v>0</v>
      </c>
      <c r="L48" s="164">
        <v>0</v>
      </c>
      <c r="M48" s="165">
        <v>0</v>
      </c>
      <c r="N48" s="166">
        <v>0</v>
      </c>
      <c r="O48" s="163">
        <v>0</v>
      </c>
      <c r="P48" s="305"/>
      <c r="Q48" s="305"/>
    </row>
    <row r="49" spans="1:15" hidden="1" outlineLevel="1">
      <c r="A49" s="304" t="s">
        <v>26</v>
      </c>
      <c r="B49" s="305"/>
      <c r="C49" s="305"/>
      <c r="D49" s="305"/>
      <c r="E49" s="305"/>
      <c r="F49" s="305"/>
      <c r="G49" s="315">
        <f>G44</f>
        <v>21</v>
      </c>
      <c r="H49" s="305"/>
      <c r="I49" s="331">
        <v>0</v>
      </c>
      <c r="J49" s="331">
        <v>0</v>
      </c>
      <c r="K49" s="331">
        <v>0</v>
      </c>
      <c r="L49" s="331">
        <v>0</v>
      </c>
      <c r="M49" s="331">
        <v>0</v>
      </c>
      <c r="N49" s="331">
        <v>0</v>
      </c>
      <c r="O49" s="331">
        <v>0</v>
      </c>
    </row>
    <row r="50" spans="1:15" hidden="1" outlineLevel="1">
      <c r="A50" s="304"/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</row>
    <row r="51" spans="1:15" hidden="1" outlineLevel="1">
      <c r="A51" s="304"/>
      <c r="B51" s="305"/>
      <c r="C51" s="305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05"/>
    </row>
    <row r="52" spans="1:15" collapsed="1">
      <c r="A52" s="305"/>
      <c r="B52" s="305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</row>
  </sheetData>
  <phoneticPr fontId="6" type="noConversion"/>
  <printOptions horizontalCentered="1"/>
  <pageMargins left="0.75" right="0.75" top="0.75" bottom="0.75" header="0.5" footer="0.25"/>
  <pageSetup scale="97" fitToHeight="2" orientation="landscape" r:id="rId1"/>
  <headerFooter alignWithMargins="0">
    <oddHeader>&amp;R&amp;8Training The Street, Inc.
&amp;D &amp;T</oddHeader>
    <oddFooter>&amp;L&amp;8COPYRIGHT 2014 © by Training The Street, Inc&amp;C&amp;8&amp;G&amp;R&amp;8For training purposes only!</oddFooter>
  </headerFooter>
  <rowBreaks count="1" manualBreakCount="1">
    <brk id="29" max="16383" man="1"/>
  </rowBreak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Inputs</vt:lpstr>
      <vt:lpstr>S&amp;U and Opening BS</vt:lpstr>
      <vt:lpstr>IS</vt:lpstr>
      <vt:lpstr>BS and Cash Flow</vt:lpstr>
      <vt:lpstr>Ratios</vt:lpstr>
      <vt:lpstr>Returns</vt:lpstr>
      <vt:lpstr>case</vt:lpstr>
      <vt:lpstr>circ</vt:lpstr>
      <vt:lpstr>Days</vt:lpstr>
      <vt:lpstr>FYE</vt:lpstr>
      <vt:lpstr>Name</vt:lpstr>
      <vt:lpstr>'BS and Cash Flow'!Print_Area</vt:lpstr>
      <vt:lpstr>IS!Print_Area</vt:lpstr>
      <vt:lpstr>Ratios!Print_Area</vt:lpstr>
      <vt:lpstr>Returns!Print_Area</vt:lpstr>
      <vt:lpstr>'S&amp;U and Opening BS'!Print_Area</vt:lpstr>
      <vt:lpstr>Subheader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 The Street, Inc.</dc:creator>
  <cp:keywords>www.trainingthestreet.com</cp:keywords>
  <dc:description/>
  <cp:lastModifiedBy>하민 안</cp:lastModifiedBy>
  <cp:revision/>
  <dcterms:created xsi:type="dcterms:W3CDTF">2005-01-05T20:54:48Z</dcterms:created>
  <dcterms:modified xsi:type="dcterms:W3CDTF">2026-03-10T21:23:25Z</dcterms:modified>
  <cp:category/>
  <cp:contentStatus/>
</cp:coreProperties>
</file>